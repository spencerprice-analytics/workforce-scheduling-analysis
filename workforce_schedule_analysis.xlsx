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oxro\OneDrive\Desktop\All Files\Spencer Folder\Portfolio Resources\"/>
    </mc:Choice>
  </mc:AlternateContent>
  <xr:revisionPtr revIDLastSave="0" documentId="8_{B753065D-EF67-48E0-A75D-34FE8AC220C4}" xr6:coauthVersionLast="47" xr6:coauthVersionMax="47" xr10:uidLastSave="{00000000-0000-0000-0000-000000000000}"/>
  <bookViews>
    <workbookView xWindow="11145" yWindow="0" windowWidth="17760" windowHeight="15585" activeTab="1" xr2:uid="{00000000-000D-0000-FFFF-FFFF00000000}"/>
  </bookViews>
  <sheets>
    <sheet name="Pivot Tables " sheetId="2" r:id="rId1"/>
    <sheet name="Sheet2" sheetId="3" r:id="rId2"/>
    <sheet name="Workforce_Schedule" sheetId="1" r:id="rId3"/>
  </sheets>
  <calcPr calcId="191029"/>
  <pivotCaches>
    <pivotCache cacheId="14"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alcChain>
</file>

<file path=xl/sharedStrings.xml><?xml version="1.0" encoding="utf-8"?>
<sst xmlns="http://schemas.openxmlformats.org/spreadsheetml/2006/main" count="456" uniqueCount="118">
  <si>
    <t>Shift_ID</t>
  </si>
  <si>
    <t>Date</t>
  </si>
  <si>
    <t>Day</t>
  </si>
  <si>
    <t>Shift</t>
  </si>
  <si>
    <t>Staff_Scheduled</t>
  </si>
  <si>
    <t>Demand_Level</t>
  </si>
  <si>
    <t>Actual_Workload</t>
  </si>
  <si>
    <t>Department</t>
  </si>
  <si>
    <t>SHIFT-2001</t>
  </si>
  <si>
    <t>Friday</t>
  </si>
  <si>
    <t>Morning</t>
  </si>
  <si>
    <t>Medium</t>
  </si>
  <si>
    <t>Operations</t>
  </si>
  <si>
    <t>SHIFT-2002</t>
  </si>
  <si>
    <t>Afternoon</t>
  </si>
  <si>
    <t>Facilities</t>
  </si>
  <si>
    <t>SHIFT-2003</t>
  </si>
  <si>
    <t>Night</t>
  </si>
  <si>
    <t>IT</t>
  </si>
  <si>
    <t>SHIFT-2004</t>
  </si>
  <si>
    <t>Saturday</t>
  </si>
  <si>
    <t>SHIFT-2005</t>
  </si>
  <si>
    <t>SHIFT-2006</t>
  </si>
  <si>
    <t>High</t>
  </si>
  <si>
    <t>SHIFT-2007</t>
  </si>
  <si>
    <t>Sunday</t>
  </si>
  <si>
    <t>Customer Support</t>
  </si>
  <si>
    <t>SHIFT-2008</t>
  </si>
  <si>
    <t>SHIFT-2009</t>
  </si>
  <si>
    <t>SHIFT-2010</t>
  </si>
  <si>
    <t>Monday</t>
  </si>
  <si>
    <t>SHIFT-2011</t>
  </si>
  <si>
    <t>SHIFT-2012</t>
  </si>
  <si>
    <t>Low</t>
  </si>
  <si>
    <t>SHIFT-2013</t>
  </si>
  <si>
    <t>Tuesday</t>
  </si>
  <si>
    <t>SHIFT-2014</t>
  </si>
  <si>
    <t>SHIFT-2015</t>
  </si>
  <si>
    <t>SHIFT-2016</t>
  </si>
  <si>
    <t>Wednesday</t>
  </si>
  <si>
    <t>SHIFT-2017</t>
  </si>
  <si>
    <t>SHIFT-2018</t>
  </si>
  <si>
    <t>SHIFT-2019</t>
  </si>
  <si>
    <t>Thursday</t>
  </si>
  <si>
    <t>SHIFT-2020</t>
  </si>
  <si>
    <t>SHIFT-2021</t>
  </si>
  <si>
    <t>SHIFT-2022</t>
  </si>
  <si>
    <t>SHIFT-2023</t>
  </si>
  <si>
    <t>SHIFT-2024</t>
  </si>
  <si>
    <t>SHIFT-2025</t>
  </si>
  <si>
    <t>SHIFT-2026</t>
  </si>
  <si>
    <t>SHIFT-2027</t>
  </si>
  <si>
    <t>SHIFT-2028</t>
  </si>
  <si>
    <t>SHIFT-2029</t>
  </si>
  <si>
    <t>SHIFT-2030</t>
  </si>
  <si>
    <t>SHIFT-2031</t>
  </si>
  <si>
    <t>SHIFT-2032</t>
  </si>
  <si>
    <t>SHIFT-2033</t>
  </si>
  <si>
    <t>SHIFT-2034</t>
  </si>
  <si>
    <t>SHIFT-2035</t>
  </si>
  <si>
    <t>SHIFT-2036</t>
  </si>
  <si>
    <t>SHIFT-2037</t>
  </si>
  <si>
    <t>SHIFT-2038</t>
  </si>
  <si>
    <t>SHIFT-2039</t>
  </si>
  <si>
    <t>SHIFT-2040</t>
  </si>
  <si>
    <t>SHIFT-2041</t>
  </si>
  <si>
    <t>SHIFT-2042</t>
  </si>
  <si>
    <t>SHIFT-2043</t>
  </si>
  <si>
    <t>SHIFT-2044</t>
  </si>
  <si>
    <t>SHIFT-2045</t>
  </si>
  <si>
    <t>SHIFT-2046</t>
  </si>
  <si>
    <t>SHIFT-2047</t>
  </si>
  <si>
    <t>SHIFT-2048</t>
  </si>
  <si>
    <t>SHIFT-2049</t>
  </si>
  <si>
    <t>SHIFT-2050</t>
  </si>
  <si>
    <t>SHIFT-2051</t>
  </si>
  <si>
    <t>SHIFT-2052</t>
  </si>
  <si>
    <t>SHIFT-2053</t>
  </si>
  <si>
    <t>SHIFT-2054</t>
  </si>
  <si>
    <t>SHIFT-2055</t>
  </si>
  <si>
    <t>SHIFT-2056</t>
  </si>
  <si>
    <t>SHIFT-2057</t>
  </si>
  <si>
    <t>SHIFT-2058</t>
  </si>
  <si>
    <t>SHIFT-2059</t>
  </si>
  <si>
    <t>SHIFT-2060</t>
  </si>
  <si>
    <t>SHIFT-2061</t>
  </si>
  <si>
    <t>SHIFT-2062</t>
  </si>
  <si>
    <t>SHIFT-2063</t>
  </si>
  <si>
    <t>SHIFT-2064</t>
  </si>
  <si>
    <t>SHIFT-2065</t>
  </si>
  <si>
    <t>SHIFT-2066</t>
  </si>
  <si>
    <t>SHIFT-2067</t>
  </si>
  <si>
    <t>SHIFT-2068</t>
  </si>
  <si>
    <t>SHIFT-2069</t>
  </si>
  <si>
    <t>SHIFT-2070</t>
  </si>
  <si>
    <t>SHIFT-2071</t>
  </si>
  <si>
    <t>SHIFT-2072</t>
  </si>
  <si>
    <t>SHIFT-2073</t>
  </si>
  <si>
    <t>SHIFT-2074</t>
  </si>
  <si>
    <t>SHIFT-2075</t>
  </si>
  <si>
    <t>SHIFT-2076</t>
  </si>
  <si>
    <t>SHIFT-2077</t>
  </si>
  <si>
    <t>SHIFT-2078</t>
  </si>
  <si>
    <t>SHIFT-2079</t>
  </si>
  <si>
    <t>SHIFT-2080</t>
  </si>
  <si>
    <t>SHIFT-2081</t>
  </si>
  <si>
    <t>SHIFT-2082</t>
  </si>
  <si>
    <t>SHIFT-2083</t>
  </si>
  <si>
    <t>SHIFT-2084</t>
  </si>
  <si>
    <t>Workload_per_Staff</t>
  </si>
  <si>
    <t>Row Labels</t>
  </si>
  <si>
    <t>Grand Total</t>
  </si>
  <si>
    <t>Average of Workload_per_Staff</t>
  </si>
  <si>
    <t>Column Labels</t>
  </si>
  <si>
    <t>Executive Summary and Recommendations</t>
  </si>
  <si>
    <t>Prepared by: Spencer Price</t>
  </si>
  <si>
    <t>Tools: Microsoft Excel</t>
  </si>
  <si>
    <r>
      <t xml:space="preserve">This analysis examined workforce scheduling data to assess whether staffing levels are aligned with workload demand across shifts and demand periods. 
Overall results indicate that night shifts experience the highest average workload per staff (12.6), suggesting elevated but manageable staffing pressure during these periods. 
Further cross-analysis of shift timing and demand level revealed an unexpected pattern. Low-demand periods consistently exhibit the highest workload per staff, particularly during afternoon shifts, where average workload per staff reaches 16.4, exceeding both medium and high-demand periods. 
These finding suggest that staffing reductions during low-demand periods may be too aggressive, resulting in disproportionate staff workload despite lower overall demand. In contrast, high-demand periods appear to be better buffered through staffing allocations. 
Based on these insights, refining demand classification and reviewing minimum staffing levels during low-demand shifts is recommended to improve workforce efficiency and reduce staff pressure. 
</t>
    </r>
    <r>
      <rPr>
        <b/>
        <sz val="12"/>
        <color theme="1"/>
        <rFont val="Calibri"/>
        <family val="2"/>
        <scheme val="minor"/>
      </rPr>
      <t>Recommendations</t>
    </r>
    <r>
      <rPr>
        <sz val="11"/>
        <color theme="1"/>
        <rFont val="Calibri"/>
        <family val="2"/>
        <scheme val="minor"/>
      </rPr>
      <t xml:space="preserve">
</t>
    </r>
    <r>
      <rPr>
        <b/>
        <sz val="11"/>
        <color theme="1"/>
        <rFont val="Calibri"/>
        <family val="2"/>
        <scheme val="minor"/>
      </rPr>
      <t>Recommendation 1</t>
    </r>
    <r>
      <rPr>
        <sz val="11"/>
        <color theme="1"/>
        <rFont val="Calibri"/>
        <family val="2"/>
        <scheme val="minor"/>
      </rPr>
      <t xml:space="preserve">
Reassess minimum staffing levels during low-demand periods to ensure staffing reductions do not create excessive workload per staff, particularly during afternoon and night shifts. 
</t>
    </r>
    <r>
      <rPr>
        <b/>
        <sz val="11"/>
        <color theme="1"/>
        <rFont val="Calibri"/>
        <family val="2"/>
        <scheme val="minor"/>
      </rPr>
      <t xml:space="preserve">Recommendation 2 </t>
    </r>
    <r>
      <rPr>
        <sz val="11"/>
        <color theme="1"/>
        <rFont val="Calibri"/>
        <family val="2"/>
        <scheme val="minor"/>
      </rPr>
      <t xml:space="preserve">
Supplement categorical demand classifications with continuous workload indicators to improve alignment between staffing decisions and actual workload intensity. 
</t>
    </r>
    <r>
      <rPr>
        <b/>
        <sz val="11"/>
        <color theme="1"/>
        <rFont val="Calibri"/>
        <family val="2"/>
        <scheme val="minor"/>
      </rPr>
      <t xml:space="preserve">
Recommendation 3
</t>
    </r>
    <r>
      <rPr>
        <sz val="11"/>
        <color theme="1"/>
        <rFont val="Calibri"/>
        <family val="2"/>
        <scheme val="minor"/>
      </rPr>
      <t xml:space="preserve">Implement workload-per-staff thresholds as an early-warning KPI to identify emerging staffing pressure across shifts and demand periods.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</si>
</sst>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4"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3" fillId="0" borderId="0" xfId="0" applyFont="1"/>
    <xf numFmtId="0" fontId="0" fillId="0" borderId="0" xfId="0" applyAlignment="1">
      <alignment wrapText="1"/>
    </xf>
  </cellXfs>
  <cellStyles count="1">
    <cellStyle name="Normal" xfId="0" builtinId="0"/>
  </cellStyles>
  <dxfs count="2">
    <dxf>
      <numFmt numFmtId="165" formatCode="0.0"/>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encer Price" refreshedDate="46028.564160532405" createdVersion="8" refreshedVersion="8" minRefreshableVersion="3" recordCount="84" xr:uid="{AF914E97-619D-437E-BAC7-BDE3B4755AA7}">
  <cacheSource type="worksheet">
    <worksheetSource name="WorkforceSchedule"/>
  </cacheSource>
  <cacheFields count="9">
    <cacheField name="Shift_ID" numFmtId="0">
      <sharedItems/>
    </cacheField>
    <cacheField name="Date" numFmtId="164">
      <sharedItems containsSemiMixedTypes="0" containsNonDate="0" containsDate="1" containsString="0" minDate="2025-08-01T00:00:00" maxDate="2025-08-29T00:00:00"/>
    </cacheField>
    <cacheField name="Day" numFmtId="0">
      <sharedItems/>
    </cacheField>
    <cacheField name="Shift" numFmtId="0">
      <sharedItems count="3">
        <s v="Morning"/>
        <s v="Afternoon"/>
        <s v="Night"/>
      </sharedItems>
    </cacheField>
    <cacheField name="Staff_Scheduled" numFmtId="0">
      <sharedItems containsSemiMixedTypes="0" containsString="0" containsNumber="1" containsInteger="1" minValue="2" maxValue="8"/>
    </cacheField>
    <cacheField name="Demand_Level" numFmtId="0">
      <sharedItems count="3">
        <s v="Medium"/>
        <s v="High"/>
        <s v="Low"/>
      </sharedItems>
    </cacheField>
    <cacheField name="Actual_Workload" numFmtId="0">
      <sharedItems containsSemiMixedTypes="0" containsString="0" containsNumber="1" containsInteger="1" minValue="21" maxValue="97"/>
    </cacheField>
    <cacheField name="Department" numFmtId="0">
      <sharedItems/>
    </cacheField>
    <cacheField name="Workload_per_Staff" numFmtId="165">
      <sharedItems containsSemiMixedTypes="0" containsString="0" containsNumber="1" minValue="7.5" maxValue="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SHIFT-2001"/>
    <d v="2025-08-01T00:00:00"/>
    <s v="Friday"/>
    <x v="0"/>
    <n v="6"/>
    <x v="0"/>
    <n v="47"/>
    <s v="Operations"/>
    <n v="7.833333333333333"/>
  </r>
  <r>
    <s v="SHIFT-2002"/>
    <d v="2025-08-01T00:00:00"/>
    <s v="Friday"/>
    <x v="1"/>
    <n v="6"/>
    <x v="0"/>
    <n v="45"/>
    <s v="Facilities"/>
    <n v="7.5"/>
  </r>
  <r>
    <s v="SHIFT-2003"/>
    <d v="2025-08-01T00:00:00"/>
    <s v="Friday"/>
    <x v="2"/>
    <n v="4"/>
    <x v="0"/>
    <n v="41"/>
    <s v="IT"/>
    <n v="10.25"/>
  </r>
  <r>
    <s v="SHIFT-2004"/>
    <d v="2025-08-02T00:00:00"/>
    <s v="Saturday"/>
    <x v="0"/>
    <n v="5"/>
    <x v="0"/>
    <n v="59"/>
    <s v="IT"/>
    <n v="11.8"/>
  </r>
  <r>
    <s v="SHIFT-2005"/>
    <d v="2025-08-02T00:00:00"/>
    <s v="Saturday"/>
    <x v="1"/>
    <n v="5"/>
    <x v="0"/>
    <n v="48"/>
    <s v="Facilities"/>
    <n v="9.6"/>
  </r>
  <r>
    <s v="SHIFT-2006"/>
    <d v="2025-08-02T00:00:00"/>
    <s v="Saturday"/>
    <x v="2"/>
    <n v="7"/>
    <x v="1"/>
    <n v="85"/>
    <s v="Operations"/>
    <n v="12.142857142857142"/>
  </r>
  <r>
    <s v="SHIFT-2007"/>
    <d v="2025-08-03T00:00:00"/>
    <s v="Sunday"/>
    <x v="0"/>
    <n v="7"/>
    <x v="1"/>
    <n v="89"/>
    <s v="Customer Support"/>
    <n v="12.714285714285714"/>
  </r>
  <r>
    <s v="SHIFT-2008"/>
    <d v="2025-08-03T00:00:00"/>
    <s v="Sunday"/>
    <x v="1"/>
    <n v="5"/>
    <x v="0"/>
    <n v="46"/>
    <s v="Customer Support"/>
    <n v="9.1999999999999993"/>
  </r>
  <r>
    <s v="SHIFT-2009"/>
    <d v="2025-08-03T00:00:00"/>
    <s v="Sunday"/>
    <x v="2"/>
    <n v="7"/>
    <x v="1"/>
    <n v="78"/>
    <s v="Operations"/>
    <n v="11.142857142857142"/>
  </r>
  <r>
    <s v="SHIFT-2010"/>
    <d v="2025-08-04T00:00:00"/>
    <s v="Monday"/>
    <x v="0"/>
    <n v="4"/>
    <x v="0"/>
    <n v="42"/>
    <s v="Facilities"/>
    <n v="10.5"/>
  </r>
  <r>
    <s v="SHIFT-2011"/>
    <d v="2025-08-04T00:00:00"/>
    <s v="Monday"/>
    <x v="1"/>
    <n v="5"/>
    <x v="0"/>
    <n v="49"/>
    <s v="Operations"/>
    <n v="9.8000000000000007"/>
  </r>
  <r>
    <s v="SHIFT-2012"/>
    <d v="2025-08-04T00:00:00"/>
    <s v="Monday"/>
    <x v="2"/>
    <n v="4"/>
    <x v="2"/>
    <n v="35"/>
    <s v="Operations"/>
    <n v="8.75"/>
  </r>
  <r>
    <s v="SHIFT-2013"/>
    <d v="2025-08-05T00:00:00"/>
    <s v="Tuesday"/>
    <x v="0"/>
    <n v="6"/>
    <x v="1"/>
    <n v="80"/>
    <s v="Facilities"/>
    <n v="13.333333333333334"/>
  </r>
  <r>
    <s v="SHIFT-2014"/>
    <d v="2025-08-05T00:00:00"/>
    <s v="Tuesday"/>
    <x v="1"/>
    <n v="2"/>
    <x v="2"/>
    <n v="40"/>
    <s v="Customer Support"/>
    <n v="20"/>
  </r>
  <r>
    <s v="SHIFT-2015"/>
    <d v="2025-08-05T00:00:00"/>
    <s v="Tuesday"/>
    <x v="2"/>
    <n v="8"/>
    <x v="1"/>
    <n v="97"/>
    <s v="Operations"/>
    <n v="12.125"/>
  </r>
  <r>
    <s v="SHIFT-2016"/>
    <d v="2025-08-06T00:00:00"/>
    <s v="Wednesday"/>
    <x v="0"/>
    <n v="4"/>
    <x v="2"/>
    <n v="39"/>
    <s v="Customer Support"/>
    <n v="9.75"/>
  </r>
  <r>
    <s v="SHIFT-2017"/>
    <d v="2025-08-06T00:00:00"/>
    <s v="Wednesday"/>
    <x v="1"/>
    <n v="2"/>
    <x v="2"/>
    <n v="32"/>
    <s v="Customer Support"/>
    <n v="16"/>
  </r>
  <r>
    <s v="SHIFT-2018"/>
    <d v="2025-08-06T00:00:00"/>
    <s v="Wednesday"/>
    <x v="2"/>
    <n v="6"/>
    <x v="0"/>
    <n v="69"/>
    <s v="Customer Support"/>
    <n v="11.5"/>
  </r>
  <r>
    <s v="SHIFT-2019"/>
    <d v="2025-08-07T00:00:00"/>
    <s v="Thursday"/>
    <x v="0"/>
    <n v="7"/>
    <x v="1"/>
    <n v="85"/>
    <s v="IT"/>
    <n v="12.142857142857142"/>
  </r>
  <r>
    <s v="SHIFT-2020"/>
    <d v="2025-08-07T00:00:00"/>
    <s v="Thursday"/>
    <x v="1"/>
    <n v="5"/>
    <x v="0"/>
    <n v="49"/>
    <s v="Operations"/>
    <n v="9.8000000000000007"/>
  </r>
  <r>
    <s v="SHIFT-2021"/>
    <d v="2025-08-07T00:00:00"/>
    <s v="Thursday"/>
    <x v="2"/>
    <n v="6"/>
    <x v="0"/>
    <n v="47"/>
    <s v="Operations"/>
    <n v="7.833333333333333"/>
  </r>
  <r>
    <s v="SHIFT-2022"/>
    <d v="2025-08-08T00:00:00"/>
    <s v="Friday"/>
    <x v="0"/>
    <n v="7"/>
    <x v="1"/>
    <n v="83"/>
    <s v="IT"/>
    <n v="11.857142857142858"/>
  </r>
  <r>
    <s v="SHIFT-2023"/>
    <d v="2025-08-08T00:00:00"/>
    <s v="Friday"/>
    <x v="1"/>
    <n v="7"/>
    <x v="1"/>
    <n v="78"/>
    <s v="Facilities"/>
    <n v="11.142857142857142"/>
  </r>
  <r>
    <s v="SHIFT-2024"/>
    <d v="2025-08-08T00:00:00"/>
    <s v="Friday"/>
    <x v="2"/>
    <n v="6"/>
    <x v="1"/>
    <n v="89"/>
    <s v="Operations"/>
    <n v="14.833333333333334"/>
  </r>
  <r>
    <s v="SHIFT-2025"/>
    <d v="2025-08-09T00:00:00"/>
    <s v="Saturday"/>
    <x v="0"/>
    <n v="5"/>
    <x v="0"/>
    <n v="44"/>
    <s v="Operations"/>
    <n v="8.8000000000000007"/>
  </r>
  <r>
    <s v="SHIFT-2026"/>
    <d v="2025-08-09T00:00:00"/>
    <s v="Saturday"/>
    <x v="1"/>
    <n v="6"/>
    <x v="1"/>
    <n v="85"/>
    <s v="Facilities"/>
    <n v="14.166666666666666"/>
  </r>
  <r>
    <s v="SHIFT-2027"/>
    <d v="2025-08-09T00:00:00"/>
    <s v="Saturday"/>
    <x v="2"/>
    <n v="4"/>
    <x v="0"/>
    <n v="68"/>
    <s v="Operations"/>
    <n v="17"/>
  </r>
  <r>
    <s v="SHIFT-2028"/>
    <d v="2025-08-10T00:00:00"/>
    <s v="Sunday"/>
    <x v="0"/>
    <n v="6"/>
    <x v="1"/>
    <n v="90"/>
    <s v="Operations"/>
    <n v="15"/>
  </r>
  <r>
    <s v="SHIFT-2029"/>
    <d v="2025-08-10T00:00:00"/>
    <s v="Sunday"/>
    <x v="1"/>
    <n v="8"/>
    <x v="1"/>
    <n v="94"/>
    <s v="Customer Support"/>
    <n v="11.75"/>
  </r>
  <r>
    <s v="SHIFT-2030"/>
    <d v="2025-08-10T00:00:00"/>
    <s v="Sunday"/>
    <x v="2"/>
    <n v="3"/>
    <x v="2"/>
    <n v="32"/>
    <s v="Customer Support"/>
    <n v="10.666666666666666"/>
  </r>
  <r>
    <s v="SHIFT-2031"/>
    <d v="2025-08-11T00:00:00"/>
    <s v="Monday"/>
    <x v="0"/>
    <n v="6"/>
    <x v="0"/>
    <n v="69"/>
    <s v="Customer Support"/>
    <n v="11.5"/>
  </r>
  <r>
    <s v="SHIFT-2032"/>
    <d v="2025-08-11T00:00:00"/>
    <s v="Monday"/>
    <x v="1"/>
    <n v="6"/>
    <x v="0"/>
    <n v="52"/>
    <s v="Customer Support"/>
    <n v="8.6666666666666661"/>
  </r>
  <r>
    <s v="SHIFT-2033"/>
    <d v="2025-08-11T00:00:00"/>
    <s v="Monday"/>
    <x v="2"/>
    <n v="5"/>
    <x v="0"/>
    <n v="54"/>
    <s v="Customer Support"/>
    <n v="10.8"/>
  </r>
  <r>
    <s v="SHIFT-2034"/>
    <d v="2025-08-12T00:00:00"/>
    <s v="Tuesday"/>
    <x v="0"/>
    <n v="6"/>
    <x v="1"/>
    <n v="86"/>
    <s v="Operations"/>
    <n v="14.333333333333334"/>
  </r>
  <r>
    <s v="SHIFT-2035"/>
    <d v="2025-08-12T00:00:00"/>
    <s v="Tuesday"/>
    <x v="1"/>
    <n v="2"/>
    <x v="2"/>
    <n v="36"/>
    <s v="IT"/>
    <n v="18"/>
  </r>
  <r>
    <s v="SHIFT-2036"/>
    <d v="2025-08-12T00:00:00"/>
    <s v="Tuesday"/>
    <x v="2"/>
    <n v="4"/>
    <x v="0"/>
    <n v="59"/>
    <s v="Operations"/>
    <n v="14.75"/>
  </r>
  <r>
    <s v="SHIFT-2037"/>
    <d v="2025-08-13T00:00:00"/>
    <s v="Wednesday"/>
    <x v="0"/>
    <n v="2"/>
    <x v="2"/>
    <n v="37"/>
    <s v="Operations"/>
    <n v="18.5"/>
  </r>
  <r>
    <s v="SHIFT-2038"/>
    <d v="2025-08-13T00:00:00"/>
    <s v="Wednesday"/>
    <x v="1"/>
    <n v="8"/>
    <x v="1"/>
    <n v="87"/>
    <s v="Customer Support"/>
    <n v="10.875"/>
  </r>
  <r>
    <s v="SHIFT-2039"/>
    <d v="2025-08-13T00:00:00"/>
    <s v="Wednesday"/>
    <x v="2"/>
    <n v="8"/>
    <x v="1"/>
    <n v="95"/>
    <s v="Facilities"/>
    <n v="11.875"/>
  </r>
  <r>
    <s v="SHIFT-2040"/>
    <d v="2025-08-14T00:00:00"/>
    <s v="Thursday"/>
    <x v="0"/>
    <n v="4"/>
    <x v="2"/>
    <n v="35"/>
    <s v="IT"/>
    <n v="8.75"/>
  </r>
  <r>
    <s v="SHIFT-2041"/>
    <d v="2025-08-14T00:00:00"/>
    <s v="Thursday"/>
    <x v="1"/>
    <n v="4"/>
    <x v="0"/>
    <n v="68"/>
    <s v="Operations"/>
    <n v="17"/>
  </r>
  <r>
    <s v="SHIFT-2042"/>
    <d v="2025-08-14T00:00:00"/>
    <s v="Thursday"/>
    <x v="2"/>
    <n v="2"/>
    <x v="2"/>
    <n v="36"/>
    <s v="IT"/>
    <n v="18"/>
  </r>
  <r>
    <s v="SHIFT-2043"/>
    <d v="2025-08-15T00:00:00"/>
    <s v="Friday"/>
    <x v="0"/>
    <n v="2"/>
    <x v="2"/>
    <n v="39"/>
    <s v="Operations"/>
    <n v="19.5"/>
  </r>
  <r>
    <s v="SHIFT-2044"/>
    <d v="2025-08-15T00:00:00"/>
    <s v="Friday"/>
    <x v="1"/>
    <n v="4"/>
    <x v="0"/>
    <n v="69"/>
    <s v="Operations"/>
    <n v="17.25"/>
  </r>
  <r>
    <s v="SHIFT-2045"/>
    <d v="2025-08-15T00:00:00"/>
    <s v="Friday"/>
    <x v="2"/>
    <n v="6"/>
    <x v="0"/>
    <n v="65"/>
    <s v="Facilities"/>
    <n v="10.833333333333334"/>
  </r>
  <r>
    <s v="SHIFT-2046"/>
    <d v="2025-08-16T00:00:00"/>
    <s v="Saturday"/>
    <x v="0"/>
    <n v="8"/>
    <x v="1"/>
    <n v="77"/>
    <s v="Customer Support"/>
    <n v="9.625"/>
  </r>
  <r>
    <s v="SHIFT-2047"/>
    <d v="2025-08-16T00:00:00"/>
    <s v="Saturday"/>
    <x v="1"/>
    <n v="5"/>
    <x v="0"/>
    <n v="46"/>
    <s v="Facilities"/>
    <n v="9.1999999999999993"/>
  </r>
  <r>
    <s v="SHIFT-2048"/>
    <d v="2025-08-16T00:00:00"/>
    <s v="Saturday"/>
    <x v="2"/>
    <n v="2"/>
    <x v="2"/>
    <n v="33"/>
    <s v="Operations"/>
    <n v="16.5"/>
  </r>
  <r>
    <s v="SHIFT-2049"/>
    <d v="2025-08-17T00:00:00"/>
    <s v="Sunday"/>
    <x v="0"/>
    <n v="3"/>
    <x v="2"/>
    <n v="29"/>
    <s v="IT"/>
    <n v="9.6666666666666661"/>
  </r>
  <r>
    <s v="SHIFT-2050"/>
    <d v="2025-08-17T00:00:00"/>
    <s v="Sunday"/>
    <x v="1"/>
    <n v="8"/>
    <x v="1"/>
    <n v="77"/>
    <s v="IT"/>
    <n v="9.625"/>
  </r>
  <r>
    <s v="SHIFT-2051"/>
    <d v="2025-08-17T00:00:00"/>
    <s v="Sunday"/>
    <x v="2"/>
    <n v="4"/>
    <x v="2"/>
    <n v="39"/>
    <s v="Customer Support"/>
    <n v="9.75"/>
  </r>
  <r>
    <s v="SHIFT-2052"/>
    <d v="2025-08-18T00:00:00"/>
    <s v="Monday"/>
    <x v="0"/>
    <n v="2"/>
    <x v="2"/>
    <n v="33"/>
    <s v="Facilities"/>
    <n v="16.5"/>
  </r>
  <r>
    <s v="SHIFT-2053"/>
    <d v="2025-08-18T00:00:00"/>
    <s v="Monday"/>
    <x v="1"/>
    <n v="4"/>
    <x v="0"/>
    <n v="59"/>
    <s v="Customer Support"/>
    <n v="14.75"/>
  </r>
  <r>
    <s v="SHIFT-2054"/>
    <d v="2025-08-18T00:00:00"/>
    <s v="Monday"/>
    <x v="2"/>
    <n v="2"/>
    <x v="2"/>
    <n v="22"/>
    <s v="IT"/>
    <n v="11"/>
  </r>
  <r>
    <s v="SHIFT-2055"/>
    <d v="2025-08-19T00:00:00"/>
    <s v="Tuesday"/>
    <x v="0"/>
    <n v="4"/>
    <x v="0"/>
    <n v="68"/>
    <s v="IT"/>
    <n v="17"/>
  </r>
  <r>
    <s v="SHIFT-2056"/>
    <d v="2025-08-19T00:00:00"/>
    <s v="Tuesday"/>
    <x v="1"/>
    <n v="7"/>
    <x v="1"/>
    <n v="71"/>
    <s v="Facilities"/>
    <n v="10.142857142857142"/>
  </r>
  <r>
    <s v="SHIFT-2057"/>
    <d v="2025-08-19T00:00:00"/>
    <s v="Tuesday"/>
    <x v="2"/>
    <n v="2"/>
    <x v="2"/>
    <n v="25"/>
    <s v="Customer Support"/>
    <n v="12.5"/>
  </r>
  <r>
    <s v="SHIFT-2058"/>
    <d v="2025-08-20T00:00:00"/>
    <s v="Wednesday"/>
    <x v="0"/>
    <n v="4"/>
    <x v="0"/>
    <n v="63"/>
    <s v="Facilities"/>
    <n v="15.75"/>
  </r>
  <r>
    <s v="SHIFT-2059"/>
    <d v="2025-08-20T00:00:00"/>
    <s v="Wednesday"/>
    <x v="1"/>
    <n v="8"/>
    <x v="1"/>
    <n v="74"/>
    <s v="Facilities"/>
    <n v="9.25"/>
  </r>
  <r>
    <s v="SHIFT-2060"/>
    <d v="2025-08-20T00:00:00"/>
    <s v="Wednesday"/>
    <x v="2"/>
    <n v="4"/>
    <x v="0"/>
    <n v="61"/>
    <s v="Operations"/>
    <n v="15.25"/>
  </r>
  <r>
    <s v="SHIFT-2061"/>
    <d v="2025-08-21T00:00:00"/>
    <s v="Thursday"/>
    <x v="0"/>
    <n v="6"/>
    <x v="1"/>
    <n v="85"/>
    <s v="Customer Support"/>
    <n v="14.166666666666666"/>
  </r>
  <r>
    <s v="SHIFT-2062"/>
    <d v="2025-08-21T00:00:00"/>
    <s v="Thursday"/>
    <x v="1"/>
    <n v="4"/>
    <x v="0"/>
    <n v="41"/>
    <s v="Customer Support"/>
    <n v="10.25"/>
  </r>
  <r>
    <s v="SHIFT-2063"/>
    <d v="2025-08-21T00:00:00"/>
    <s v="Thursday"/>
    <x v="2"/>
    <n v="5"/>
    <x v="0"/>
    <n v="54"/>
    <s v="Operations"/>
    <n v="10.8"/>
  </r>
  <r>
    <s v="SHIFT-2064"/>
    <d v="2025-08-22T00:00:00"/>
    <s v="Friday"/>
    <x v="0"/>
    <n v="7"/>
    <x v="1"/>
    <n v="73"/>
    <s v="Facilities"/>
    <n v="10.428571428571429"/>
  </r>
  <r>
    <s v="SHIFT-2065"/>
    <d v="2025-08-22T00:00:00"/>
    <s v="Friday"/>
    <x v="1"/>
    <n v="6"/>
    <x v="1"/>
    <n v="77"/>
    <s v="Operations"/>
    <n v="12.833333333333334"/>
  </r>
  <r>
    <s v="SHIFT-2066"/>
    <d v="2025-08-22T00:00:00"/>
    <s v="Friday"/>
    <x v="2"/>
    <n v="2"/>
    <x v="2"/>
    <n v="36"/>
    <s v="Operations"/>
    <n v="18"/>
  </r>
  <r>
    <s v="SHIFT-2067"/>
    <d v="2025-08-23T00:00:00"/>
    <s v="Saturday"/>
    <x v="0"/>
    <n v="2"/>
    <x v="2"/>
    <n v="21"/>
    <s v="Customer Support"/>
    <n v="10.5"/>
  </r>
  <r>
    <s v="SHIFT-2068"/>
    <d v="2025-08-23T00:00:00"/>
    <s v="Saturday"/>
    <x v="1"/>
    <n v="5"/>
    <x v="0"/>
    <n v="70"/>
    <s v="Customer Support"/>
    <n v="14"/>
  </r>
  <r>
    <s v="SHIFT-2069"/>
    <d v="2025-08-23T00:00:00"/>
    <s v="Saturday"/>
    <x v="2"/>
    <n v="7"/>
    <x v="1"/>
    <n v="78"/>
    <s v="Operations"/>
    <n v="11.142857142857142"/>
  </r>
  <r>
    <s v="SHIFT-2070"/>
    <d v="2025-08-24T00:00:00"/>
    <s v="Sunday"/>
    <x v="0"/>
    <n v="3"/>
    <x v="2"/>
    <n v="31"/>
    <s v="IT"/>
    <n v="10.333333333333334"/>
  </r>
  <r>
    <s v="SHIFT-2071"/>
    <d v="2025-08-24T00:00:00"/>
    <s v="Sunday"/>
    <x v="1"/>
    <n v="3"/>
    <x v="2"/>
    <n v="35"/>
    <s v="Facilities"/>
    <n v="11.666666666666666"/>
  </r>
  <r>
    <s v="SHIFT-2072"/>
    <d v="2025-08-24T00:00:00"/>
    <s v="Sunday"/>
    <x v="2"/>
    <n v="6"/>
    <x v="1"/>
    <n v="95"/>
    <s v="Customer Support"/>
    <n v="15.833333333333334"/>
  </r>
  <r>
    <s v="SHIFT-2073"/>
    <d v="2025-08-25T00:00:00"/>
    <s v="Monday"/>
    <x v="0"/>
    <n v="8"/>
    <x v="1"/>
    <n v="75"/>
    <s v="IT"/>
    <n v="9.375"/>
  </r>
  <r>
    <s v="SHIFT-2074"/>
    <d v="2025-08-25T00:00:00"/>
    <s v="Monday"/>
    <x v="1"/>
    <n v="8"/>
    <x v="1"/>
    <n v="71"/>
    <s v="IT"/>
    <n v="8.875"/>
  </r>
  <r>
    <s v="SHIFT-2075"/>
    <d v="2025-08-25T00:00:00"/>
    <s v="Monday"/>
    <x v="2"/>
    <n v="2"/>
    <x v="2"/>
    <n v="21"/>
    <s v="IT"/>
    <n v="10.5"/>
  </r>
  <r>
    <s v="SHIFT-2076"/>
    <d v="2025-08-26T00:00:00"/>
    <s v="Tuesday"/>
    <x v="0"/>
    <n v="4"/>
    <x v="0"/>
    <n v="48"/>
    <s v="Customer Support"/>
    <n v="12"/>
  </r>
  <r>
    <s v="SHIFT-2077"/>
    <d v="2025-08-26T00:00:00"/>
    <s v="Tuesday"/>
    <x v="1"/>
    <n v="4"/>
    <x v="0"/>
    <n v="67"/>
    <s v="IT"/>
    <n v="16.75"/>
  </r>
  <r>
    <s v="SHIFT-2078"/>
    <d v="2025-08-26T00:00:00"/>
    <s v="Tuesday"/>
    <x v="2"/>
    <n v="4"/>
    <x v="0"/>
    <n v="63"/>
    <s v="Operations"/>
    <n v="15.75"/>
  </r>
  <r>
    <s v="SHIFT-2079"/>
    <d v="2025-08-27T00:00:00"/>
    <s v="Wednesday"/>
    <x v="0"/>
    <n v="6"/>
    <x v="1"/>
    <n v="93"/>
    <s v="Facilities"/>
    <n v="15.5"/>
  </r>
  <r>
    <s v="SHIFT-2080"/>
    <d v="2025-08-27T00:00:00"/>
    <s v="Wednesday"/>
    <x v="1"/>
    <n v="4"/>
    <x v="0"/>
    <n v="42"/>
    <s v="Operations"/>
    <n v="10.5"/>
  </r>
  <r>
    <s v="SHIFT-2081"/>
    <d v="2025-08-27T00:00:00"/>
    <s v="Wednesday"/>
    <x v="2"/>
    <n v="5"/>
    <x v="0"/>
    <n v="65"/>
    <s v="Customer Support"/>
    <n v="13"/>
  </r>
  <r>
    <s v="SHIFT-2082"/>
    <d v="2025-08-28T00:00:00"/>
    <s v="Thursday"/>
    <x v="0"/>
    <n v="5"/>
    <x v="0"/>
    <n v="57"/>
    <s v="IT"/>
    <n v="11.4"/>
  </r>
  <r>
    <s v="SHIFT-2083"/>
    <d v="2025-08-28T00:00:00"/>
    <s v="Thursday"/>
    <x v="1"/>
    <n v="6"/>
    <x v="1"/>
    <n v="78"/>
    <s v="Operations"/>
    <n v="13"/>
  </r>
  <r>
    <s v="SHIFT-2084"/>
    <d v="2025-08-28T00:00:00"/>
    <s v="Thursday"/>
    <x v="2"/>
    <n v="6"/>
    <x v="0"/>
    <n v="54"/>
    <s v="Customer Support"/>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7B8732-D148-4BF4-A3CE-65E3B2F088D4}"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E16" firstHeaderRow="1" firstDataRow="2" firstDataCol="1"/>
  <pivotFields count="9">
    <pivotField showAll="0"/>
    <pivotField numFmtId="164" showAll="0"/>
    <pivotField showAll="0"/>
    <pivotField axis="axisRow" showAll="0">
      <items count="4">
        <item x="1"/>
        <item x="0"/>
        <item x="2"/>
        <item t="default"/>
      </items>
    </pivotField>
    <pivotField showAll="0"/>
    <pivotField axis="axisCol" showAll="0">
      <items count="4">
        <item x="1"/>
        <item x="2"/>
        <item x="0"/>
        <item t="default"/>
      </items>
    </pivotField>
    <pivotField showAll="0"/>
    <pivotField showAll="0"/>
    <pivotField dataField="1" numFmtId="165" showAll="0"/>
  </pivotFields>
  <rowFields count="1">
    <field x="3"/>
  </rowFields>
  <rowItems count="4">
    <i>
      <x/>
    </i>
    <i>
      <x v="1"/>
    </i>
    <i>
      <x v="2"/>
    </i>
    <i t="grand">
      <x/>
    </i>
  </rowItems>
  <colFields count="1">
    <field x="5"/>
  </colFields>
  <colItems count="4">
    <i>
      <x/>
    </i>
    <i>
      <x v="1"/>
    </i>
    <i>
      <x v="2"/>
    </i>
    <i t="grand">
      <x/>
    </i>
  </colItems>
  <dataFields count="1">
    <dataField name="Average of Workload_per_Staff" fld="8" subtotal="average" baseField="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FDF2A6-00F0-474D-A126-E3F1CE8EB056}"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7" firstHeaderRow="1" firstDataRow="1" firstDataCol="1"/>
  <pivotFields count="9">
    <pivotField showAll="0"/>
    <pivotField numFmtId="164"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s>
  <rowFields count="1">
    <field x="5"/>
  </rowFields>
  <rowItems count="4">
    <i>
      <x v="1"/>
    </i>
    <i>
      <x/>
    </i>
    <i>
      <x v="2"/>
    </i>
    <i t="grand">
      <x/>
    </i>
  </rowItems>
  <colItems count="1">
    <i/>
  </colItems>
  <dataFields count="1">
    <dataField name="Average of Workload_per_Staff" fld="8" subtotal="average" baseField="5"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256AC3-CEE5-496A-8195-89AAD7F7D4A1}"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9">
    <pivotField showAll="0"/>
    <pivotField numFmtId="164" showAll="0"/>
    <pivotField showAll="0"/>
    <pivotField axis="axisRow" showAll="0">
      <items count="4">
        <item x="1"/>
        <item x="0"/>
        <item x="2"/>
        <item t="default"/>
      </items>
    </pivotField>
    <pivotField showAll="0"/>
    <pivotField showAll="0"/>
    <pivotField showAll="0"/>
    <pivotField showAll="0"/>
    <pivotField dataField="1" numFmtId="165" showAll="0"/>
  </pivotFields>
  <rowFields count="1">
    <field x="3"/>
  </rowFields>
  <rowItems count="4">
    <i>
      <x/>
    </i>
    <i>
      <x v="1"/>
    </i>
    <i>
      <x v="2"/>
    </i>
    <i t="grand">
      <x/>
    </i>
  </rowItems>
  <colItems count="1">
    <i/>
  </colItems>
  <dataFields count="1">
    <dataField name="Average of Workload_per_Staff" fld="8" subtotal="average" baseField="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AB4B1C-A002-493F-8493-82C4F50512A2}" name="WorkforceSchedule" displayName="WorkforceSchedule" ref="A1:I85" totalsRowShown="0">
  <autoFilter ref="A1:I85" xr:uid="{D4AB4B1C-A002-493F-8493-82C4F50512A2}"/>
  <tableColumns count="9">
    <tableColumn id="1" xr3:uid="{68241090-B127-4071-BBCD-E6E868415679}" name="Shift_ID"/>
    <tableColumn id="2" xr3:uid="{2C2B883D-6327-4863-84DB-59D744205877}" name="Date" dataDxfId="1"/>
    <tableColumn id="3" xr3:uid="{F685697B-5C87-4836-AA3F-79290652356F}" name="Day"/>
    <tableColumn id="4" xr3:uid="{4D060DE9-D785-4B9D-BD25-05053804554D}" name="Shift"/>
    <tableColumn id="5" xr3:uid="{90A54B2F-E48C-4118-8690-FF1811BAEA52}" name="Staff_Scheduled"/>
    <tableColumn id="6" xr3:uid="{F23CD3A1-4A1E-4960-90F4-7B0C53F5A2E4}" name="Demand_Level"/>
    <tableColumn id="7" xr3:uid="{4FD88D30-5BC5-44C9-A95C-0220FD8FA815}" name="Actual_Workload"/>
    <tableColumn id="8" xr3:uid="{1D00960F-2860-408A-B437-47607BFBFE59}" name="Department"/>
    <tableColumn id="9" xr3:uid="{A4A57E71-1835-4021-B4D3-9CDCA50DB770}" name="Workload_per_Staff" dataDxfId="0">
      <calculatedColumnFormula>WorkforceSchedule[[#This Row],[Actual_Workload]]/WorkforceSchedule[[#This Row],[Staff_Scheduled]]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AB919-0A57-4598-AE1D-A2A5F15B608B}">
  <dimension ref="A3:F16"/>
  <sheetViews>
    <sheetView workbookViewId="0">
      <selection activeCell="B29" sqref="B29"/>
    </sheetView>
  </sheetViews>
  <sheetFormatPr defaultRowHeight="15" x14ac:dyDescent="0.25"/>
  <cols>
    <col min="1" max="1" width="29.42578125" bestFit="1" customWidth="1"/>
    <col min="2" max="2" width="16.28515625" bestFit="1" customWidth="1"/>
    <col min="3" max="3" width="4.5703125" bestFit="1" customWidth="1"/>
    <col min="4" max="4" width="8.5703125" bestFit="1" customWidth="1"/>
    <col min="5" max="5" width="11.28515625" bestFit="1" customWidth="1"/>
    <col min="6" max="6" width="29.42578125" bestFit="1" customWidth="1"/>
  </cols>
  <sheetData>
    <row r="3" spans="1:6" x14ac:dyDescent="0.25">
      <c r="A3" s="3" t="s">
        <v>110</v>
      </c>
      <c r="B3" t="s">
        <v>112</v>
      </c>
      <c r="E3" s="3" t="s">
        <v>110</v>
      </c>
      <c r="F3" t="s">
        <v>112</v>
      </c>
    </row>
    <row r="4" spans="1:6" x14ac:dyDescent="0.25">
      <c r="A4" s="4" t="s">
        <v>14</v>
      </c>
      <c r="B4" s="2">
        <v>12.199787414965986</v>
      </c>
      <c r="E4" s="4" t="s">
        <v>33</v>
      </c>
      <c r="F4" s="2">
        <v>13.563492063492065</v>
      </c>
    </row>
    <row r="5" spans="1:6" x14ac:dyDescent="0.25">
      <c r="A5" s="4" t="s">
        <v>10</v>
      </c>
      <c r="B5" s="2">
        <v>12.448554421768707</v>
      </c>
      <c r="E5" s="4" t="s">
        <v>23</v>
      </c>
      <c r="F5" s="2">
        <v>12.115433673469386</v>
      </c>
    </row>
    <row r="6" spans="1:6" x14ac:dyDescent="0.25">
      <c r="A6" s="4" t="s">
        <v>17</v>
      </c>
      <c r="B6" s="2">
        <v>12.554591836734692</v>
      </c>
      <c r="E6" s="4" t="s">
        <v>11</v>
      </c>
      <c r="F6" s="2">
        <v>11.931904761904761</v>
      </c>
    </row>
    <row r="7" spans="1:6" x14ac:dyDescent="0.25">
      <c r="A7" s="4" t="s">
        <v>111</v>
      </c>
      <c r="B7" s="2">
        <v>12.400977891156462</v>
      </c>
      <c r="E7" s="4" t="s">
        <v>111</v>
      </c>
      <c r="F7" s="2">
        <v>12.400977891156462</v>
      </c>
    </row>
    <row r="11" spans="1:6" x14ac:dyDescent="0.25">
      <c r="A11" s="3" t="s">
        <v>112</v>
      </c>
      <c r="B11" s="3" t="s">
        <v>113</v>
      </c>
    </row>
    <row r="12" spans="1:6" x14ac:dyDescent="0.25">
      <c r="A12" s="3" t="s">
        <v>110</v>
      </c>
      <c r="B12" t="s">
        <v>23</v>
      </c>
      <c r="C12" t="s">
        <v>33</v>
      </c>
      <c r="D12" t="s">
        <v>11</v>
      </c>
      <c r="E12" t="s">
        <v>111</v>
      </c>
    </row>
    <row r="13" spans="1:6" x14ac:dyDescent="0.25">
      <c r="A13" s="4" t="s">
        <v>14</v>
      </c>
      <c r="B13" s="2">
        <v>11.166071428571428</v>
      </c>
      <c r="C13" s="2">
        <v>16.416666666666668</v>
      </c>
      <c r="D13" s="2">
        <v>11.733333333333333</v>
      </c>
      <c r="E13" s="2">
        <v>12.199787414965984</v>
      </c>
    </row>
    <row r="14" spans="1:6" x14ac:dyDescent="0.25">
      <c r="A14" s="4" t="s">
        <v>10</v>
      </c>
      <c r="B14" s="2">
        <v>12.588744588744589</v>
      </c>
      <c r="C14" s="2">
        <v>12.9375</v>
      </c>
      <c r="D14" s="2">
        <v>11.842592592592593</v>
      </c>
      <c r="E14" s="2">
        <v>12.448554421768707</v>
      </c>
    </row>
    <row r="15" spans="1:6" x14ac:dyDescent="0.25">
      <c r="A15" s="4" t="s">
        <v>17</v>
      </c>
      <c r="B15" s="2">
        <v>12.727891156462585</v>
      </c>
      <c r="C15" s="2">
        <v>12.851851851851851</v>
      </c>
      <c r="D15" s="2">
        <v>12.230555555555554</v>
      </c>
      <c r="E15" s="2">
        <v>12.554591836734692</v>
      </c>
    </row>
    <row r="16" spans="1:6" x14ac:dyDescent="0.25">
      <c r="A16" s="4" t="s">
        <v>111</v>
      </c>
      <c r="B16" s="2">
        <v>12.115433673469386</v>
      </c>
      <c r="C16" s="2">
        <v>13.563492063492065</v>
      </c>
      <c r="D16" s="2">
        <v>11.931904761904763</v>
      </c>
      <c r="E16" s="2">
        <v>12.400977891156462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CCBAA-D0C2-46B2-A5CB-18C269F0B18F}">
  <dimension ref="A1:F11"/>
  <sheetViews>
    <sheetView tabSelected="1" workbookViewId="0">
      <selection activeCell="A2" sqref="A2:F2"/>
    </sheetView>
  </sheetViews>
  <sheetFormatPr defaultRowHeight="15" x14ac:dyDescent="0.25"/>
  <cols>
    <col min="1" max="1" width="89.5703125" customWidth="1"/>
  </cols>
  <sheetData>
    <row r="1" spans="1:6" ht="15.75" customHeight="1" x14ac:dyDescent="0.3">
      <c r="A1" s="5" t="s">
        <v>114</v>
      </c>
    </row>
    <row r="2" spans="1:6" ht="375.75" customHeight="1" x14ac:dyDescent="0.25">
      <c r="A2" s="6" t="s">
        <v>117</v>
      </c>
      <c r="B2" s="6"/>
      <c r="C2" s="6"/>
      <c r="D2" s="6"/>
      <c r="E2" s="6"/>
      <c r="F2" s="6"/>
    </row>
    <row r="10" spans="1:6" x14ac:dyDescent="0.25">
      <c r="A10" t="s">
        <v>115</v>
      </c>
    </row>
    <row r="11" spans="1:6" x14ac:dyDescent="0.25">
      <c r="A11" t="s">
        <v>116</v>
      </c>
    </row>
  </sheetData>
  <mergeCells count="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5"/>
  <sheetViews>
    <sheetView topLeftCell="A2" workbookViewId="0">
      <selection activeCell="B7" sqref="B7"/>
    </sheetView>
  </sheetViews>
  <sheetFormatPr defaultRowHeight="15" x14ac:dyDescent="0.25"/>
  <cols>
    <col min="1" max="1" width="10.140625" customWidth="1"/>
    <col min="2" max="2" width="15" customWidth="1"/>
    <col min="5" max="5" width="17.5703125" customWidth="1"/>
    <col min="6" max="6" width="16.28515625" customWidth="1"/>
    <col min="7" max="7" width="18.42578125" customWidth="1"/>
    <col min="8" max="8" width="13.85546875" customWidth="1"/>
    <col min="9" max="9" width="9.140625" style="2"/>
  </cols>
  <sheetData>
    <row r="1" spans="1:9" x14ac:dyDescent="0.25">
      <c r="A1" t="s">
        <v>0</v>
      </c>
      <c r="B1" t="s">
        <v>1</v>
      </c>
      <c r="C1" t="s">
        <v>2</v>
      </c>
      <c r="D1" t="s">
        <v>3</v>
      </c>
      <c r="E1" t="s">
        <v>4</v>
      </c>
      <c r="F1" t="s">
        <v>5</v>
      </c>
      <c r="G1" t="s">
        <v>6</v>
      </c>
      <c r="H1" t="s">
        <v>7</v>
      </c>
      <c r="I1" s="2" t="s">
        <v>109</v>
      </c>
    </row>
    <row r="2" spans="1:9" x14ac:dyDescent="0.25">
      <c r="A2" t="s">
        <v>8</v>
      </c>
      <c r="B2" s="1">
        <v>45870</v>
      </c>
      <c r="C2" t="s">
        <v>9</v>
      </c>
      <c r="D2" t="s">
        <v>10</v>
      </c>
      <c r="E2">
        <v>6</v>
      </c>
      <c r="F2" t="s">
        <v>11</v>
      </c>
      <c r="G2">
        <v>47</v>
      </c>
      <c r="H2" t="s">
        <v>12</v>
      </c>
      <c r="I2" s="2">
        <f>WorkforceSchedule[[#This Row],[Actual_Workload]]/WorkforceSchedule[[#This Row],[Staff_Scheduled]]</f>
        <v>7.833333333333333</v>
      </c>
    </row>
    <row r="3" spans="1:9" x14ac:dyDescent="0.25">
      <c r="A3" t="s">
        <v>13</v>
      </c>
      <c r="B3" s="1">
        <v>45870</v>
      </c>
      <c r="C3" t="s">
        <v>9</v>
      </c>
      <c r="D3" t="s">
        <v>14</v>
      </c>
      <c r="E3">
        <v>6</v>
      </c>
      <c r="F3" t="s">
        <v>11</v>
      </c>
      <c r="G3">
        <v>45</v>
      </c>
      <c r="H3" t="s">
        <v>15</v>
      </c>
      <c r="I3" s="2">
        <f>WorkforceSchedule[[#This Row],[Actual_Workload]]/WorkforceSchedule[[#This Row],[Staff_Scheduled]]</f>
        <v>7.5</v>
      </c>
    </row>
    <row r="4" spans="1:9" x14ac:dyDescent="0.25">
      <c r="A4" t="s">
        <v>16</v>
      </c>
      <c r="B4" s="1">
        <v>45870</v>
      </c>
      <c r="C4" t="s">
        <v>9</v>
      </c>
      <c r="D4" t="s">
        <v>17</v>
      </c>
      <c r="E4">
        <v>4</v>
      </c>
      <c r="F4" t="s">
        <v>11</v>
      </c>
      <c r="G4">
        <v>41</v>
      </c>
      <c r="H4" t="s">
        <v>18</v>
      </c>
      <c r="I4" s="2">
        <f>WorkforceSchedule[[#This Row],[Actual_Workload]]/WorkforceSchedule[[#This Row],[Staff_Scheduled]]</f>
        <v>10.25</v>
      </c>
    </row>
    <row r="5" spans="1:9" x14ac:dyDescent="0.25">
      <c r="A5" t="s">
        <v>19</v>
      </c>
      <c r="B5" s="1">
        <v>45871</v>
      </c>
      <c r="C5" t="s">
        <v>20</v>
      </c>
      <c r="D5" t="s">
        <v>10</v>
      </c>
      <c r="E5">
        <v>5</v>
      </c>
      <c r="F5" t="s">
        <v>11</v>
      </c>
      <c r="G5">
        <v>59</v>
      </c>
      <c r="H5" t="s">
        <v>18</v>
      </c>
      <c r="I5" s="2">
        <f>WorkforceSchedule[[#This Row],[Actual_Workload]]/WorkforceSchedule[[#This Row],[Staff_Scheduled]]</f>
        <v>11.8</v>
      </c>
    </row>
    <row r="6" spans="1:9" x14ac:dyDescent="0.25">
      <c r="A6" t="s">
        <v>21</v>
      </c>
      <c r="B6" s="1">
        <v>45871</v>
      </c>
      <c r="C6" t="s">
        <v>20</v>
      </c>
      <c r="D6" t="s">
        <v>14</v>
      </c>
      <c r="E6">
        <v>5</v>
      </c>
      <c r="F6" t="s">
        <v>11</v>
      </c>
      <c r="G6">
        <v>48</v>
      </c>
      <c r="H6" t="s">
        <v>15</v>
      </c>
      <c r="I6" s="2">
        <f>WorkforceSchedule[[#This Row],[Actual_Workload]]/WorkforceSchedule[[#This Row],[Staff_Scheduled]]</f>
        <v>9.6</v>
      </c>
    </row>
    <row r="7" spans="1:9" x14ac:dyDescent="0.25">
      <c r="A7" t="s">
        <v>22</v>
      </c>
      <c r="B7" s="1">
        <v>45871</v>
      </c>
      <c r="C7" t="s">
        <v>20</v>
      </c>
      <c r="D7" t="s">
        <v>17</v>
      </c>
      <c r="E7">
        <v>7</v>
      </c>
      <c r="F7" t="s">
        <v>23</v>
      </c>
      <c r="G7">
        <v>85</v>
      </c>
      <c r="H7" t="s">
        <v>12</v>
      </c>
      <c r="I7" s="2">
        <f>WorkforceSchedule[[#This Row],[Actual_Workload]]/WorkforceSchedule[[#This Row],[Staff_Scheduled]]</f>
        <v>12.142857142857142</v>
      </c>
    </row>
    <row r="8" spans="1:9" x14ac:dyDescent="0.25">
      <c r="A8" t="s">
        <v>24</v>
      </c>
      <c r="B8" s="1">
        <v>45872</v>
      </c>
      <c r="C8" t="s">
        <v>25</v>
      </c>
      <c r="D8" t="s">
        <v>10</v>
      </c>
      <c r="E8">
        <v>7</v>
      </c>
      <c r="F8" t="s">
        <v>23</v>
      </c>
      <c r="G8">
        <v>89</v>
      </c>
      <c r="H8" t="s">
        <v>26</v>
      </c>
      <c r="I8" s="2">
        <f>WorkforceSchedule[[#This Row],[Actual_Workload]]/WorkforceSchedule[[#This Row],[Staff_Scheduled]]</f>
        <v>12.714285714285714</v>
      </c>
    </row>
    <row r="9" spans="1:9" x14ac:dyDescent="0.25">
      <c r="A9" t="s">
        <v>27</v>
      </c>
      <c r="B9" s="1">
        <v>45872</v>
      </c>
      <c r="C9" t="s">
        <v>25</v>
      </c>
      <c r="D9" t="s">
        <v>14</v>
      </c>
      <c r="E9">
        <v>5</v>
      </c>
      <c r="F9" t="s">
        <v>11</v>
      </c>
      <c r="G9">
        <v>46</v>
      </c>
      <c r="H9" t="s">
        <v>26</v>
      </c>
      <c r="I9" s="2">
        <f>WorkforceSchedule[[#This Row],[Actual_Workload]]/WorkforceSchedule[[#This Row],[Staff_Scheduled]]</f>
        <v>9.1999999999999993</v>
      </c>
    </row>
    <row r="10" spans="1:9" x14ac:dyDescent="0.25">
      <c r="A10" t="s">
        <v>28</v>
      </c>
      <c r="B10" s="1">
        <v>45872</v>
      </c>
      <c r="C10" t="s">
        <v>25</v>
      </c>
      <c r="D10" t="s">
        <v>17</v>
      </c>
      <c r="E10">
        <v>7</v>
      </c>
      <c r="F10" t="s">
        <v>23</v>
      </c>
      <c r="G10">
        <v>78</v>
      </c>
      <c r="H10" t="s">
        <v>12</v>
      </c>
      <c r="I10" s="2">
        <f>WorkforceSchedule[[#This Row],[Actual_Workload]]/WorkforceSchedule[[#This Row],[Staff_Scheduled]]</f>
        <v>11.142857142857142</v>
      </c>
    </row>
    <row r="11" spans="1:9" x14ac:dyDescent="0.25">
      <c r="A11" t="s">
        <v>29</v>
      </c>
      <c r="B11" s="1">
        <v>45873</v>
      </c>
      <c r="C11" t="s">
        <v>30</v>
      </c>
      <c r="D11" t="s">
        <v>10</v>
      </c>
      <c r="E11">
        <v>4</v>
      </c>
      <c r="F11" t="s">
        <v>11</v>
      </c>
      <c r="G11">
        <v>42</v>
      </c>
      <c r="H11" t="s">
        <v>15</v>
      </c>
      <c r="I11" s="2">
        <f>WorkforceSchedule[[#This Row],[Actual_Workload]]/WorkforceSchedule[[#This Row],[Staff_Scheduled]]</f>
        <v>10.5</v>
      </c>
    </row>
    <row r="12" spans="1:9" x14ac:dyDescent="0.25">
      <c r="A12" t="s">
        <v>31</v>
      </c>
      <c r="B12" s="1">
        <v>45873</v>
      </c>
      <c r="C12" t="s">
        <v>30</v>
      </c>
      <c r="D12" t="s">
        <v>14</v>
      </c>
      <c r="E12">
        <v>5</v>
      </c>
      <c r="F12" t="s">
        <v>11</v>
      </c>
      <c r="G12">
        <v>49</v>
      </c>
      <c r="H12" t="s">
        <v>12</v>
      </c>
      <c r="I12" s="2">
        <f>WorkforceSchedule[[#This Row],[Actual_Workload]]/WorkforceSchedule[[#This Row],[Staff_Scheduled]]</f>
        <v>9.8000000000000007</v>
      </c>
    </row>
    <row r="13" spans="1:9" x14ac:dyDescent="0.25">
      <c r="A13" t="s">
        <v>32</v>
      </c>
      <c r="B13" s="1">
        <v>45873</v>
      </c>
      <c r="C13" t="s">
        <v>30</v>
      </c>
      <c r="D13" t="s">
        <v>17</v>
      </c>
      <c r="E13">
        <v>4</v>
      </c>
      <c r="F13" t="s">
        <v>33</v>
      </c>
      <c r="G13">
        <v>35</v>
      </c>
      <c r="H13" t="s">
        <v>12</v>
      </c>
      <c r="I13" s="2">
        <f>WorkforceSchedule[[#This Row],[Actual_Workload]]/WorkforceSchedule[[#This Row],[Staff_Scheduled]]</f>
        <v>8.75</v>
      </c>
    </row>
    <row r="14" spans="1:9" x14ac:dyDescent="0.25">
      <c r="A14" t="s">
        <v>34</v>
      </c>
      <c r="B14" s="1">
        <v>45874</v>
      </c>
      <c r="C14" t="s">
        <v>35</v>
      </c>
      <c r="D14" t="s">
        <v>10</v>
      </c>
      <c r="E14">
        <v>6</v>
      </c>
      <c r="F14" t="s">
        <v>23</v>
      </c>
      <c r="G14">
        <v>80</v>
      </c>
      <c r="H14" t="s">
        <v>15</v>
      </c>
      <c r="I14" s="2">
        <f>WorkforceSchedule[[#This Row],[Actual_Workload]]/WorkforceSchedule[[#This Row],[Staff_Scheduled]]</f>
        <v>13.333333333333334</v>
      </c>
    </row>
    <row r="15" spans="1:9" x14ac:dyDescent="0.25">
      <c r="A15" t="s">
        <v>36</v>
      </c>
      <c r="B15" s="1">
        <v>45874</v>
      </c>
      <c r="C15" t="s">
        <v>35</v>
      </c>
      <c r="D15" t="s">
        <v>14</v>
      </c>
      <c r="E15">
        <v>2</v>
      </c>
      <c r="F15" t="s">
        <v>33</v>
      </c>
      <c r="G15">
        <v>40</v>
      </c>
      <c r="H15" t="s">
        <v>26</v>
      </c>
      <c r="I15" s="2">
        <f>WorkforceSchedule[[#This Row],[Actual_Workload]]/WorkforceSchedule[[#This Row],[Staff_Scheduled]]</f>
        <v>20</v>
      </c>
    </row>
    <row r="16" spans="1:9" x14ac:dyDescent="0.25">
      <c r="A16" t="s">
        <v>37</v>
      </c>
      <c r="B16" s="1">
        <v>45874</v>
      </c>
      <c r="C16" t="s">
        <v>35</v>
      </c>
      <c r="D16" t="s">
        <v>17</v>
      </c>
      <c r="E16">
        <v>8</v>
      </c>
      <c r="F16" t="s">
        <v>23</v>
      </c>
      <c r="G16">
        <v>97</v>
      </c>
      <c r="H16" t="s">
        <v>12</v>
      </c>
      <c r="I16" s="2">
        <f>WorkforceSchedule[[#This Row],[Actual_Workload]]/WorkforceSchedule[[#This Row],[Staff_Scheduled]]</f>
        <v>12.125</v>
      </c>
    </row>
    <row r="17" spans="1:9" x14ac:dyDescent="0.25">
      <c r="A17" t="s">
        <v>38</v>
      </c>
      <c r="B17" s="1">
        <v>45875</v>
      </c>
      <c r="C17" t="s">
        <v>39</v>
      </c>
      <c r="D17" t="s">
        <v>10</v>
      </c>
      <c r="E17">
        <v>4</v>
      </c>
      <c r="F17" t="s">
        <v>33</v>
      </c>
      <c r="G17">
        <v>39</v>
      </c>
      <c r="H17" t="s">
        <v>26</v>
      </c>
      <c r="I17" s="2">
        <f>WorkforceSchedule[[#This Row],[Actual_Workload]]/WorkforceSchedule[[#This Row],[Staff_Scheduled]]</f>
        <v>9.75</v>
      </c>
    </row>
    <row r="18" spans="1:9" x14ac:dyDescent="0.25">
      <c r="A18" t="s">
        <v>40</v>
      </c>
      <c r="B18" s="1">
        <v>45875</v>
      </c>
      <c r="C18" t="s">
        <v>39</v>
      </c>
      <c r="D18" t="s">
        <v>14</v>
      </c>
      <c r="E18">
        <v>2</v>
      </c>
      <c r="F18" t="s">
        <v>33</v>
      </c>
      <c r="G18">
        <v>32</v>
      </c>
      <c r="H18" t="s">
        <v>26</v>
      </c>
      <c r="I18" s="2">
        <f>WorkforceSchedule[[#This Row],[Actual_Workload]]/WorkforceSchedule[[#This Row],[Staff_Scheduled]]</f>
        <v>16</v>
      </c>
    </row>
    <row r="19" spans="1:9" x14ac:dyDescent="0.25">
      <c r="A19" t="s">
        <v>41</v>
      </c>
      <c r="B19" s="1">
        <v>45875</v>
      </c>
      <c r="C19" t="s">
        <v>39</v>
      </c>
      <c r="D19" t="s">
        <v>17</v>
      </c>
      <c r="E19">
        <v>6</v>
      </c>
      <c r="F19" t="s">
        <v>11</v>
      </c>
      <c r="G19">
        <v>69</v>
      </c>
      <c r="H19" t="s">
        <v>26</v>
      </c>
      <c r="I19" s="2">
        <f>WorkforceSchedule[[#This Row],[Actual_Workload]]/WorkforceSchedule[[#This Row],[Staff_Scheduled]]</f>
        <v>11.5</v>
      </c>
    </row>
    <row r="20" spans="1:9" x14ac:dyDescent="0.25">
      <c r="A20" t="s">
        <v>42</v>
      </c>
      <c r="B20" s="1">
        <v>45876</v>
      </c>
      <c r="C20" t="s">
        <v>43</v>
      </c>
      <c r="D20" t="s">
        <v>10</v>
      </c>
      <c r="E20">
        <v>7</v>
      </c>
      <c r="F20" t="s">
        <v>23</v>
      </c>
      <c r="G20">
        <v>85</v>
      </c>
      <c r="H20" t="s">
        <v>18</v>
      </c>
      <c r="I20" s="2">
        <f>WorkforceSchedule[[#This Row],[Actual_Workload]]/WorkforceSchedule[[#This Row],[Staff_Scheduled]]</f>
        <v>12.142857142857142</v>
      </c>
    </row>
    <row r="21" spans="1:9" x14ac:dyDescent="0.25">
      <c r="A21" t="s">
        <v>44</v>
      </c>
      <c r="B21" s="1">
        <v>45876</v>
      </c>
      <c r="C21" t="s">
        <v>43</v>
      </c>
      <c r="D21" t="s">
        <v>14</v>
      </c>
      <c r="E21">
        <v>5</v>
      </c>
      <c r="F21" t="s">
        <v>11</v>
      </c>
      <c r="G21">
        <v>49</v>
      </c>
      <c r="H21" t="s">
        <v>12</v>
      </c>
      <c r="I21" s="2">
        <f>WorkforceSchedule[[#This Row],[Actual_Workload]]/WorkforceSchedule[[#This Row],[Staff_Scheduled]]</f>
        <v>9.8000000000000007</v>
      </c>
    </row>
    <row r="22" spans="1:9" x14ac:dyDescent="0.25">
      <c r="A22" t="s">
        <v>45</v>
      </c>
      <c r="B22" s="1">
        <v>45876</v>
      </c>
      <c r="C22" t="s">
        <v>43</v>
      </c>
      <c r="D22" t="s">
        <v>17</v>
      </c>
      <c r="E22">
        <v>6</v>
      </c>
      <c r="F22" t="s">
        <v>11</v>
      </c>
      <c r="G22">
        <v>47</v>
      </c>
      <c r="H22" t="s">
        <v>12</v>
      </c>
      <c r="I22" s="2">
        <f>WorkforceSchedule[[#This Row],[Actual_Workload]]/WorkforceSchedule[[#This Row],[Staff_Scheduled]]</f>
        <v>7.833333333333333</v>
      </c>
    </row>
    <row r="23" spans="1:9" x14ac:dyDescent="0.25">
      <c r="A23" t="s">
        <v>46</v>
      </c>
      <c r="B23" s="1">
        <v>45877</v>
      </c>
      <c r="C23" t="s">
        <v>9</v>
      </c>
      <c r="D23" t="s">
        <v>10</v>
      </c>
      <c r="E23">
        <v>7</v>
      </c>
      <c r="F23" t="s">
        <v>23</v>
      </c>
      <c r="G23">
        <v>83</v>
      </c>
      <c r="H23" t="s">
        <v>18</v>
      </c>
      <c r="I23" s="2">
        <f>WorkforceSchedule[[#This Row],[Actual_Workload]]/WorkforceSchedule[[#This Row],[Staff_Scheduled]]</f>
        <v>11.857142857142858</v>
      </c>
    </row>
    <row r="24" spans="1:9" x14ac:dyDescent="0.25">
      <c r="A24" t="s">
        <v>47</v>
      </c>
      <c r="B24" s="1">
        <v>45877</v>
      </c>
      <c r="C24" t="s">
        <v>9</v>
      </c>
      <c r="D24" t="s">
        <v>14</v>
      </c>
      <c r="E24">
        <v>7</v>
      </c>
      <c r="F24" t="s">
        <v>23</v>
      </c>
      <c r="G24">
        <v>78</v>
      </c>
      <c r="H24" t="s">
        <v>15</v>
      </c>
      <c r="I24" s="2">
        <f>WorkforceSchedule[[#This Row],[Actual_Workload]]/WorkforceSchedule[[#This Row],[Staff_Scheduled]]</f>
        <v>11.142857142857142</v>
      </c>
    </row>
    <row r="25" spans="1:9" x14ac:dyDescent="0.25">
      <c r="A25" t="s">
        <v>48</v>
      </c>
      <c r="B25" s="1">
        <v>45877</v>
      </c>
      <c r="C25" t="s">
        <v>9</v>
      </c>
      <c r="D25" t="s">
        <v>17</v>
      </c>
      <c r="E25">
        <v>6</v>
      </c>
      <c r="F25" t="s">
        <v>23</v>
      </c>
      <c r="G25">
        <v>89</v>
      </c>
      <c r="H25" t="s">
        <v>12</v>
      </c>
      <c r="I25" s="2">
        <f>WorkforceSchedule[[#This Row],[Actual_Workload]]/WorkforceSchedule[[#This Row],[Staff_Scheduled]]</f>
        <v>14.833333333333334</v>
      </c>
    </row>
    <row r="26" spans="1:9" x14ac:dyDescent="0.25">
      <c r="A26" t="s">
        <v>49</v>
      </c>
      <c r="B26" s="1">
        <v>45878</v>
      </c>
      <c r="C26" t="s">
        <v>20</v>
      </c>
      <c r="D26" t="s">
        <v>10</v>
      </c>
      <c r="E26">
        <v>5</v>
      </c>
      <c r="F26" t="s">
        <v>11</v>
      </c>
      <c r="G26">
        <v>44</v>
      </c>
      <c r="H26" t="s">
        <v>12</v>
      </c>
      <c r="I26" s="2">
        <f>WorkforceSchedule[[#This Row],[Actual_Workload]]/WorkforceSchedule[[#This Row],[Staff_Scheduled]]</f>
        <v>8.8000000000000007</v>
      </c>
    </row>
    <row r="27" spans="1:9" x14ac:dyDescent="0.25">
      <c r="A27" t="s">
        <v>50</v>
      </c>
      <c r="B27" s="1">
        <v>45878</v>
      </c>
      <c r="C27" t="s">
        <v>20</v>
      </c>
      <c r="D27" t="s">
        <v>14</v>
      </c>
      <c r="E27">
        <v>6</v>
      </c>
      <c r="F27" t="s">
        <v>23</v>
      </c>
      <c r="G27">
        <v>85</v>
      </c>
      <c r="H27" t="s">
        <v>15</v>
      </c>
      <c r="I27" s="2">
        <f>WorkforceSchedule[[#This Row],[Actual_Workload]]/WorkforceSchedule[[#This Row],[Staff_Scheduled]]</f>
        <v>14.166666666666666</v>
      </c>
    </row>
    <row r="28" spans="1:9" x14ac:dyDescent="0.25">
      <c r="A28" t="s">
        <v>51</v>
      </c>
      <c r="B28" s="1">
        <v>45878</v>
      </c>
      <c r="C28" t="s">
        <v>20</v>
      </c>
      <c r="D28" t="s">
        <v>17</v>
      </c>
      <c r="E28">
        <v>4</v>
      </c>
      <c r="F28" t="s">
        <v>11</v>
      </c>
      <c r="G28">
        <v>68</v>
      </c>
      <c r="H28" t="s">
        <v>12</v>
      </c>
      <c r="I28" s="2">
        <f>WorkforceSchedule[[#This Row],[Actual_Workload]]/WorkforceSchedule[[#This Row],[Staff_Scheduled]]</f>
        <v>17</v>
      </c>
    </row>
    <row r="29" spans="1:9" x14ac:dyDescent="0.25">
      <c r="A29" t="s">
        <v>52</v>
      </c>
      <c r="B29" s="1">
        <v>45879</v>
      </c>
      <c r="C29" t="s">
        <v>25</v>
      </c>
      <c r="D29" t="s">
        <v>10</v>
      </c>
      <c r="E29">
        <v>6</v>
      </c>
      <c r="F29" t="s">
        <v>23</v>
      </c>
      <c r="G29">
        <v>90</v>
      </c>
      <c r="H29" t="s">
        <v>12</v>
      </c>
      <c r="I29" s="2">
        <f>WorkforceSchedule[[#This Row],[Actual_Workload]]/WorkforceSchedule[[#This Row],[Staff_Scheduled]]</f>
        <v>15</v>
      </c>
    </row>
    <row r="30" spans="1:9" x14ac:dyDescent="0.25">
      <c r="A30" t="s">
        <v>53</v>
      </c>
      <c r="B30" s="1">
        <v>45879</v>
      </c>
      <c r="C30" t="s">
        <v>25</v>
      </c>
      <c r="D30" t="s">
        <v>14</v>
      </c>
      <c r="E30">
        <v>8</v>
      </c>
      <c r="F30" t="s">
        <v>23</v>
      </c>
      <c r="G30">
        <v>94</v>
      </c>
      <c r="H30" t="s">
        <v>26</v>
      </c>
      <c r="I30" s="2">
        <f>WorkforceSchedule[[#This Row],[Actual_Workload]]/WorkforceSchedule[[#This Row],[Staff_Scheduled]]</f>
        <v>11.75</v>
      </c>
    </row>
    <row r="31" spans="1:9" x14ac:dyDescent="0.25">
      <c r="A31" t="s">
        <v>54</v>
      </c>
      <c r="B31" s="1">
        <v>45879</v>
      </c>
      <c r="C31" t="s">
        <v>25</v>
      </c>
      <c r="D31" t="s">
        <v>17</v>
      </c>
      <c r="E31">
        <v>3</v>
      </c>
      <c r="F31" t="s">
        <v>33</v>
      </c>
      <c r="G31">
        <v>32</v>
      </c>
      <c r="H31" t="s">
        <v>26</v>
      </c>
      <c r="I31" s="2">
        <f>WorkforceSchedule[[#This Row],[Actual_Workload]]/WorkforceSchedule[[#This Row],[Staff_Scheduled]]</f>
        <v>10.666666666666666</v>
      </c>
    </row>
    <row r="32" spans="1:9" x14ac:dyDescent="0.25">
      <c r="A32" t="s">
        <v>55</v>
      </c>
      <c r="B32" s="1">
        <v>45880</v>
      </c>
      <c r="C32" t="s">
        <v>30</v>
      </c>
      <c r="D32" t="s">
        <v>10</v>
      </c>
      <c r="E32">
        <v>6</v>
      </c>
      <c r="F32" t="s">
        <v>11</v>
      </c>
      <c r="G32">
        <v>69</v>
      </c>
      <c r="H32" t="s">
        <v>26</v>
      </c>
      <c r="I32" s="2">
        <f>WorkforceSchedule[[#This Row],[Actual_Workload]]/WorkforceSchedule[[#This Row],[Staff_Scheduled]]</f>
        <v>11.5</v>
      </c>
    </row>
    <row r="33" spans="1:9" x14ac:dyDescent="0.25">
      <c r="A33" t="s">
        <v>56</v>
      </c>
      <c r="B33" s="1">
        <v>45880</v>
      </c>
      <c r="C33" t="s">
        <v>30</v>
      </c>
      <c r="D33" t="s">
        <v>14</v>
      </c>
      <c r="E33">
        <v>6</v>
      </c>
      <c r="F33" t="s">
        <v>11</v>
      </c>
      <c r="G33">
        <v>52</v>
      </c>
      <c r="H33" t="s">
        <v>26</v>
      </c>
      <c r="I33" s="2">
        <f>WorkforceSchedule[[#This Row],[Actual_Workload]]/WorkforceSchedule[[#This Row],[Staff_Scheduled]]</f>
        <v>8.6666666666666661</v>
      </c>
    </row>
    <row r="34" spans="1:9" x14ac:dyDescent="0.25">
      <c r="A34" t="s">
        <v>57</v>
      </c>
      <c r="B34" s="1">
        <v>45880</v>
      </c>
      <c r="C34" t="s">
        <v>30</v>
      </c>
      <c r="D34" t="s">
        <v>17</v>
      </c>
      <c r="E34">
        <v>5</v>
      </c>
      <c r="F34" t="s">
        <v>11</v>
      </c>
      <c r="G34">
        <v>54</v>
      </c>
      <c r="H34" t="s">
        <v>26</v>
      </c>
      <c r="I34" s="2">
        <f>WorkforceSchedule[[#This Row],[Actual_Workload]]/WorkforceSchedule[[#This Row],[Staff_Scheduled]]</f>
        <v>10.8</v>
      </c>
    </row>
    <row r="35" spans="1:9" x14ac:dyDescent="0.25">
      <c r="A35" t="s">
        <v>58</v>
      </c>
      <c r="B35" s="1">
        <v>45881</v>
      </c>
      <c r="C35" t="s">
        <v>35</v>
      </c>
      <c r="D35" t="s">
        <v>10</v>
      </c>
      <c r="E35">
        <v>6</v>
      </c>
      <c r="F35" t="s">
        <v>23</v>
      </c>
      <c r="G35">
        <v>86</v>
      </c>
      <c r="H35" t="s">
        <v>12</v>
      </c>
      <c r="I35" s="2">
        <f>WorkforceSchedule[[#This Row],[Actual_Workload]]/WorkforceSchedule[[#This Row],[Staff_Scheduled]]</f>
        <v>14.333333333333334</v>
      </c>
    </row>
    <row r="36" spans="1:9" x14ac:dyDescent="0.25">
      <c r="A36" t="s">
        <v>59</v>
      </c>
      <c r="B36" s="1">
        <v>45881</v>
      </c>
      <c r="C36" t="s">
        <v>35</v>
      </c>
      <c r="D36" t="s">
        <v>14</v>
      </c>
      <c r="E36">
        <v>2</v>
      </c>
      <c r="F36" t="s">
        <v>33</v>
      </c>
      <c r="G36">
        <v>36</v>
      </c>
      <c r="H36" t="s">
        <v>18</v>
      </c>
      <c r="I36" s="2">
        <f>WorkforceSchedule[[#This Row],[Actual_Workload]]/WorkforceSchedule[[#This Row],[Staff_Scheduled]]</f>
        <v>18</v>
      </c>
    </row>
    <row r="37" spans="1:9" x14ac:dyDescent="0.25">
      <c r="A37" t="s">
        <v>60</v>
      </c>
      <c r="B37" s="1">
        <v>45881</v>
      </c>
      <c r="C37" t="s">
        <v>35</v>
      </c>
      <c r="D37" t="s">
        <v>17</v>
      </c>
      <c r="E37">
        <v>4</v>
      </c>
      <c r="F37" t="s">
        <v>11</v>
      </c>
      <c r="G37">
        <v>59</v>
      </c>
      <c r="H37" t="s">
        <v>12</v>
      </c>
      <c r="I37" s="2">
        <f>WorkforceSchedule[[#This Row],[Actual_Workload]]/WorkforceSchedule[[#This Row],[Staff_Scheduled]]</f>
        <v>14.75</v>
      </c>
    </row>
    <row r="38" spans="1:9" x14ac:dyDescent="0.25">
      <c r="A38" t="s">
        <v>61</v>
      </c>
      <c r="B38" s="1">
        <v>45882</v>
      </c>
      <c r="C38" t="s">
        <v>39</v>
      </c>
      <c r="D38" t="s">
        <v>10</v>
      </c>
      <c r="E38">
        <v>2</v>
      </c>
      <c r="F38" t="s">
        <v>33</v>
      </c>
      <c r="G38">
        <v>37</v>
      </c>
      <c r="H38" t="s">
        <v>12</v>
      </c>
      <c r="I38" s="2">
        <f>WorkforceSchedule[[#This Row],[Actual_Workload]]/WorkforceSchedule[[#This Row],[Staff_Scheduled]]</f>
        <v>18.5</v>
      </c>
    </row>
    <row r="39" spans="1:9" x14ac:dyDescent="0.25">
      <c r="A39" t="s">
        <v>62</v>
      </c>
      <c r="B39" s="1">
        <v>45882</v>
      </c>
      <c r="C39" t="s">
        <v>39</v>
      </c>
      <c r="D39" t="s">
        <v>14</v>
      </c>
      <c r="E39">
        <v>8</v>
      </c>
      <c r="F39" t="s">
        <v>23</v>
      </c>
      <c r="G39">
        <v>87</v>
      </c>
      <c r="H39" t="s">
        <v>26</v>
      </c>
      <c r="I39" s="2">
        <f>WorkforceSchedule[[#This Row],[Actual_Workload]]/WorkforceSchedule[[#This Row],[Staff_Scheduled]]</f>
        <v>10.875</v>
      </c>
    </row>
    <row r="40" spans="1:9" x14ac:dyDescent="0.25">
      <c r="A40" t="s">
        <v>63</v>
      </c>
      <c r="B40" s="1">
        <v>45882</v>
      </c>
      <c r="C40" t="s">
        <v>39</v>
      </c>
      <c r="D40" t="s">
        <v>17</v>
      </c>
      <c r="E40">
        <v>8</v>
      </c>
      <c r="F40" t="s">
        <v>23</v>
      </c>
      <c r="G40">
        <v>95</v>
      </c>
      <c r="H40" t="s">
        <v>15</v>
      </c>
      <c r="I40" s="2">
        <f>WorkforceSchedule[[#This Row],[Actual_Workload]]/WorkforceSchedule[[#This Row],[Staff_Scheduled]]</f>
        <v>11.875</v>
      </c>
    </row>
    <row r="41" spans="1:9" x14ac:dyDescent="0.25">
      <c r="A41" t="s">
        <v>64</v>
      </c>
      <c r="B41" s="1">
        <v>45883</v>
      </c>
      <c r="C41" t="s">
        <v>43</v>
      </c>
      <c r="D41" t="s">
        <v>10</v>
      </c>
      <c r="E41">
        <v>4</v>
      </c>
      <c r="F41" t="s">
        <v>33</v>
      </c>
      <c r="G41">
        <v>35</v>
      </c>
      <c r="H41" t="s">
        <v>18</v>
      </c>
      <c r="I41" s="2">
        <f>WorkforceSchedule[[#This Row],[Actual_Workload]]/WorkforceSchedule[[#This Row],[Staff_Scheduled]]</f>
        <v>8.75</v>
      </c>
    </row>
    <row r="42" spans="1:9" x14ac:dyDescent="0.25">
      <c r="A42" t="s">
        <v>65</v>
      </c>
      <c r="B42" s="1">
        <v>45883</v>
      </c>
      <c r="C42" t="s">
        <v>43</v>
      </c>
      <c r="D42" t="s">
        <v>14</v>
      </c>
      <c r="E42">
        <v>4</v>
      </c>
      <c r="F42" t="s">
        <v>11</v>
      </c>
      <c r="G42">
        <v>68</v>
      </c>
      <c r="H42" t="s">
        <v>12</v>
      </c>
      <c r="I42" s="2">
        <f>WorkforceSchedule[[#This Row],[Actual_Workload]]/WorkforceSchedule[[#This Row],[Staff_Scheduled]]</f>
        <v>17</v>
      </c>
    </row>
    <row r="43" spans="1:9" x14ac:dyDescent="0.25">
      <c r="A43" t="s">
        <v>66</v>
      </c>
      <c r="B43" s="1">
        <v>45883</v>
      </c>
      <c r="C43" t="s">
        <v>43</v>
      </c>
      <c r="D43" t="s">
        <v>17</v>
      </c>
      <c r="E43">
        <v>2</v>
      </c>
      <c r="F43" t="s">
        <v>33</v>
      </c>
      <c r="G43">
        <v>36</v>
      </c>
      <c r="H43" t="s">
        <v>18</v>
      </c>
      <c r="I43" s="2">
        <f>WorkforceSchedule[[#This Row],[Actual_Workload]]/WorkforceSchedule[[#This Row],[Staff_Scheduled]]</f>
        <v>18</v>
      </c>
    </row>
    <row r="44" spans="1:9" x14ac:dyDescent="0.25">
      <c r="A44" t="s">
        <v>67</v>
      </c>
      <c r="B44" s="1">
        <v>45884</v>
      </c>
      <c r="C44" t="s">
        <v>9</v>
      </c>
      <c r="D44" t="s">
        <v>10</v>
      </c>
      <c r="E44">
        <v>2</v>
      </c>
      <c r="F44" t="s">
        <v>33</v>
      </c>
      <c r="G44">
        <v>39</v>
      </c>
      <c r="H44" t="s">
        <v>12</v>
      </c>
      <c r="I44" s="2">
        <f>WorkforceSchedule[[#This Row],[Actual_Workload]]/WorkforceSchedule[[#This Row],[Staff_Scheduled]]</f>
        <v>19.5</v>
      </c>
    </row>
    <row r="45" spans="1:9" x14ac:dyDescent="0.25">
      <c r="A45" t="s">
        <v>68</v>
      </c>
      <c r="B45" s="1">
        <v>45884</v>
      </c>
      <c r="C45" t="s">
        <v>9</v>
      </c>
      <c r="D45" t="s">
        <v>14</v>
      </c>
      <c r="E45">
        <v>4</v>
      </c>
      <c r="F45" t="s">
        <v>11</v>
      </c>
      <c r="G45">
        <v>69</v>
      </c>
      <c r="H45" t="s">
        <v>12</v>
      </c>
      <c r="I45" s="2">
        <f>WorkforceSchedule[[#This Row],[Actual_Workload]]/WorkforceSchedule[[#This Row],[Staff_Scheduled]]</f>
        <v>17.25</v>
      </c>
    </row>
    <row r="46" spans="1:9" x14ac:dyDescent="0.25">
      <c r="A46" t="s">
        <v>69</v>
      </c>
      <c r="B46" s="1">
        <v>45884</v>
      </c>
      <c r="C46" t="s">
        <v>9</v>
      </c>
      <c r="D46" t="s">
        <v>17</v>
      </c>
      <c r="E46">
        <v>6</v>
      </c>
      <c r="F46" t="s">
        <v>11</v>
      </c>
      <c r="G46">
        <v>65</v>
      </c>
      <c r="H46" t="s">
        <v>15</v>
      </c>
      <c r="I46" s="2">
        <f>WorkforceSchedule[[#This Row],[Actual_Workload]]/WorkforceSchedule[[#This Row],[Staff_Scheduled]]</f>
        <v>10.833333333333334</v>
      </c>
    </row>
    <row r="47" spans="1:9" x14ac:dyDescent="0.25">
      <c r="A47" t="s">
        <v>70</v>
      </c>
      <c r="B47" s="1">
        <v>45885</v>
      </c>
      <c r="C47" t="s">
        <v>20</v>
      </c>
      <c r="D47" t="s">
        <v>10</v>
      </c>
      <c r="E47">
        <v>8</v>
      </c>
      <c r="F47" t="s">
        <v>23</v>
      </c>
      <c r="G47">
        <v>77</v>
      </c>
      <c r="H47" t="s">
        <v>26</v>
      </c>
      <c r="I47" s="2">
        <f>WorkforceSchedule[[#This Row],[Actual_Workload]]/WorkforceSchedule[[#This Row],[Staff_Scheduled]]</f>
        <v>9.625</v>
      </c>
    </row>
    <row r="48" spans="1:9" x14ac:dyDescent="0.25">
      <c r="A48" t="s">
        <v>71</v>
      </c>
      <c r="B48" s="1">
        <v>45885</v>
      </c>
      <c r="C48" t="s">
        <v>20</v>
      </c>
      <c r="D48" t="s">
        <v>14</v>
      </c>
      <c r="E48">
        <v>5</v>
      </c>
      <c r="F48" t="s">
        <v>11</v>
      </c>
      <c r="G48">
        <v>46</v>
      </c>
      <c r="H48" t="s">
        <v>15</v>
      </c>
      <c r="I48" s="2">
        <f>WorkforceSchedule[[#This Row],[Actual_Workload]]/WorkforceSchedule[[#This Row],[Staff_Scheduled]]</f>
        <v>9.1999999999999993</v>
      </c>
    </row>
    <row r="49" spans="1:9" x14ac:dyDescent="0.25">
      <c r="A49" t="s">
        <v>72</v>
      </c>
      <c r="B49" s="1">
        <v>45885</v>
      </c>
      <c r="C49" t="s">
        <v>20</v>
      </c>
      <c r="D49" t="s">
        <v>17</v>
      </c>
      <c r="E49">
        <v>2</v>
      </c>
      <c r="F49" t="s">
        <v>33</v>
      </c>
      <c r="G49">
        <v>33</v>
      </c>
      <c r="H49" t="s">
        <v>12</v>
      </c>
      <c r="I49" s="2">
        <f>WorkforceSchedule[[#This Row],[Actual_Workload]]/WorkforceSchedule[[#This Row],[Staff_Scheduled]]</f>
        <v>16.5</v>
      </c>
    </row>
    <row r="50" spans="1:9" x14ac:dyDescent="0.25">
      <c r="A50" t="s">
        <v>73</v>
      </c>
      <c r="B50" s="1">
        <v>45886</v>
      </c>
      <c r="C50" t="s">
        <v>25</v>
      </c>
      <c r="D50" t="s">
        <v>10</v>
      </c>
      <c r="E50">
        <v>3</v>
      </c>
      <c r="F50" t="s">
        <v>33</v>
      </c>
      <c r="G50">
        <v>29</v>
      </c>
      <c r="H50" t="s">
        <v>18</v>
      </c>
      <c r="I50" s="2">
        <f>WorkforceSchedule[[#This Row],[Actual_Workload]]/WorkforceSchedule[[#This Row],[Staff_Scheduled]]</f>
        <v>9.6666666666666661</v>
      </c>
    </row>
    <row r="51" spans="1:9" x14ac:dyDescent="0.25">
      <c r="A51" t="s">
        <v>74</v>
      </c>
      <c r="B51" s="1">
        <v>45886</v>
      </c>
      <c r="C51" t="s">
        <v>25</v>
      </c>
      <c r="D51" t="s">
        <v>14</v>
      </c>
      <c r="E51">
        <v>8</v>
      </c>
      <c r="F51" t="s">
        <v>23</v>
      </c>
      <c r="G51">
        <v>77</v>
      </c>
      <c r="H51" t="s">
        <v>18</v>
      </c>
      <c r="I51" s="2">
        <f>WorkforceSchedule[[#This Row],[Actual_Workload]]/WorkforceSchedule[[#This Row],[Staff_Scheduled]]</f>
        <v>9.625</v>
      </c>
    </row>
    <row r="52" spans="1:9" x14ac:dyDescent="0.25">
      <c r="A52" t="s">
        <v>75</v>
      </c>
      <c r="B52" s="1">
        <v>45886</v>
      </c>
      <c r="C52" t="s">
        <v>25</v>
      </c>
      <c r="D52" t="s">
        <v>17</v>
      </c>
      <c r="E52">
        <v>4</v>
      </c>
      <c r="F52" t="s">
        <v>33</v>
      </c>
      <c r="G52">
        <v>39</v>
      </c>
      <c r="H52" t="s">
        <v>26</v>
      </c>
      <c r="I52" s="2">
        <f>WorkforceSchedule[[#This Row],[Actual_Workload]]/WorkforceSchedule[[#This Row],[Staff_Scheduled]]</f>
        <v>9.75</v>
      </c>
    </row>
    <row r="53" spans="1:9" x14ac:dyDescent="0.25">
      <c r="A53" t="s">
        <v>76</v>
      </c>
      <c r="B53" s="1">
        <v>45887</v>
      </c>
      <c r="C53" t="s">
        <v>30</v>
      </c>
      <c r="D53" t="s">
        <v>10</v>
      </c>
      <c r="E53">
        <v>2</v>
      </c>
      <c r="F53" t="s">
        <v>33</v>
      </c>
      <c r="G53">
        <v>33</v>
      </c>
      <c r="H53" t="s">
        <v>15</v>
      </c>
      <c r="I53" s="2">
        <f>WorkforceSchedule[[#This Row],[Actual_Workload]]/WorkforceSchedule[[#This Row],[Staff_Scheduled]]</f>
        <v>16.5</v>
      </c>
    </row>
    <row r="54" spans="1:9" x14ac:dyDescent="0.25">
      <c r="A54" t="s">
        <v>77</v>
      </c>
      <c r="B54" s="1">
        <v>45887</v>
      </c>
      <c r="C54" t="s">
        <v>30</v>
      </c>
      <c r="D54" t="s">
        <v>14</v>
      </c>
      <c r="E54">
        <v>4</v>
      </c>
      <c r="F54" t="s">
        <v>11</v>
      </c>
      <c r="G54">
        <v>59</v>
      </c>
      <c r="H54" t="s">
        <v>26</v>
      </c>
      <c r="I54" s="2">
        <f>WorkforceSchedule[[#This Row],[Actual_Workload]]/WorkforceSchedule[[#This Row],[Staff_Scheduled]]</f>
        <v>14.75</v>
      </c>
    </row>
    <row r="55" spans="1:9" x14ac:dyDescent="0.25">
      <c r="A55" t="s">
        <v>78</v>
      </c>
      <c r="B55" s="1">
        <v>45887</v>
      </c>
      <c r="C55" t="s">
        <v>30</v>
      </c>
      <c r="D55" t="s">
        <v>17</v>
      </c>
      <c r="E55">
        <v>2</v>
      </c>
      <c r="F55" t="s">
        <v>33</v>
      </c>
      <c r="G55">
        <v>22</v>
      </c>
      <c r="H55" t="s">
        <v>18</v>
      </c>
      <c r="I55" s="2">
        <f>WorkforceSchedule[[#This Row],[Actual_Workload]]/WorkforceSchedule[[#This Row],[Staff_Scheduled]]</f>
        <v>11</v>
      </c>
    </row>
    <row r="56" spans="1:9" x14ac:dyDescent="0.25">
      <c r="A56" t="s">
        <v>79</v>
      </c>
      <c r="B56" s="1">
        <v>45888</v>
      </c>
      <c r="C56" t="s">
        <v>35</v>
      </c>
      <c r="D56" t="s">
        <v>10</v>
      </c>
      <c r="E56">
        <v>4</v>
      </c>
      <c r="F56" t="s">
        <v>11</v>
      </c>
      <c r="G56">
        <v>68</v>
      </c>
      <c r="H56" t="s">
        <v>18</v>
      </c>
      <c r="I56" s="2">
        <f>WorkforceSchedule[[#This Row],[Actual_Workload]]/WorkforceSchedule[[#This Row],[Staff_Scheduled]]</f>
        <v>17</v>
      </c>
    </row>
    <row r="57" spans="1:9" x14ac:dyDescent="0.25">
      <c r="A57" t="s">
        <v>80</v>
      </c>
      <c r="B57" s="1">
        <v>45888</v>
      </c>
      <c r="C57" t="s">
        <v>35</v>
      </c>
      <c r="D57" t="s">
        <v>14</v>
      </c>
      <c r="E57">
        <v>7</v>
      </c>
      <c r="F57" t="s">
        <v>23</v>
      </c>
      <c r="G57">
        <v>71</v>
      </c>
      <c r="H57" t="s">
        <v>15</v>
      </c>
      <c r="I57" s="2">
        <f>WorkforceSchedule[[#This Row],[Actual_Workload]]/WorkforceSchedule[[#This Row],[Staff_Scheduled]]</f>
        <v>10.142857142857142</v>
      </c>
    </row>
    <row r="58" spans="1:9" x14ac:dyDescent="0.25">
      <c r="A58" t="s">
        <v>81</v>
      </c>
      <c r="B58" s="1">
        <v>45888</v>
      </c>
      <c r="C58" t="s">
        <v>35</v>
      </c>
      <c r="D58" t="s">
        <v>17</v>
      </c>
      <c r="E58">
        <v>2</v>
      </c>
      <c r="F58" t="s">
        <v>33</v>
      </c>
      <c r="G58">
        <v>25</v>
      </c>
      <c r="H58" t="s">
        <v>26</v>
      </c>
      <c r="I58" s="2">
        <f>WorkforceSchedule[[#This Row],[Actual_Workload]]/WorkforceSchedule[[#This Row],[Staff_Scheduled]]</f>
        <v>12.5</v>
      </c>
    </row>
    <row r="59" spans="1:9" x14ac:dyDescent="0.25">
      <c r="A59" t="s">
        <v>82</v>
      </c>
      <c r="B59" s="1">
        <v>45889</v>
      </c>
      <c r="C59" t="s">
        <v>39</v>
      </c>
      <c r="D59" t="s">
        <v>10</v>
      </c>
      <c r="E59">
        <v>4</v>
      </c>
      <c r="F59" t="s">
        <v>11</v>
      </c>
      <c r="G59">
        <v>63</v>
      </c>
      <c r="H59" t="s">
        <v>15</v>
      </c>
      <c r="I59" s="2">
        <f>WorkforceSchedule[[#This Row],[Actual_Workload]]/WorkforceSchedule[[#This Row],[Staff_Scheduled]]</f>
        <v>15.75</v>
      </c>
    </row>
    <row r="60" spans="1:9" x14ac:dyDescent="0.25">
      <c r="A60" t="s">
        <v>83</v>
      </c>
      <c r="B60" s="1">
        <v>45889</v>
      </c>
      <c r="C60" t="s">
        <v>39</v>
      </c>
      <c r="D60" t="s">
        <v>14</v>
      </c>
      <c r="E60">
        <v>8</v>
      </c>
      <c r="F60" t="s">
        <v>23</v>
      </c>
      <c r="G60">
        <v>74</v>
      </c>
      <c r="H60" t="s">
        <v>15</v>
      </c>
      <c r="I60" s="2">
        <f>WorkforceSchedule[[#This Row],[Actual_Workload]]/WorkforceSchedule[[#This Row],[Staff_Scheduled]]</f>
        <v>9.25</v>
      </c>
    </row>
    <row r="61" spans="1:9" x14ac:dyDescent="0.25">
      <c r="A61" t="s">
        <v>84</v>
      </c>
      <c r="B61" s="1">
        <v>45889</v>
      </c>
      <c r="C61" t="s">
        <v>39</v>
      </c>
      <c r="D61" t="s">
        <v>17</v>
      </c>
      <c r="E61">
        <v>4</v>
      </c>
      <c r="F61" t="s">
        <v>11</v>
      </c>
      <c r="G61">
        <v>61</v>
      </c>
      <c r="H61" t="s">
        <v>12</v>
      </c>
      <c r="I61" s="2">
        <f>WorkforceSchedule[[#This Row],[Actual_Workload]]/WorkforceSchedule[[#This Row],[Staff_Scheduled]]</f>
        <v>15.25</v>
      </c>
    </row>
    <row r="62" spans="1:9" x14ac:dyDescent="0.25">
      <c r="A62" t="s">
        <v>85</v>
      </c>
      <c r="B62" s="1">
        <v>45890</v>
      </c>
      <c r="C62" t="s">
        <v>43</v>
      </c>
      <c r="D62" t="s">
        <v>10</v>
      </c>
      <c r="E62">
        <v>6</v>
      </c>
      <c r="F62" t="s">
        <v>23</v>
      </c>
      <c r="G62">
        <v>85</v>
      </c>
      <c r="H62" t="s">
        <v>26</v>
      </c>
      <c r="I62" s="2">
        <f>WorkforceSchedule[[#This Row],[Actual_Workload]]/WorkforceSchedule[[#This Row],[Staff_Scheduled]]</f>
        <v>14.166666666666666</v>
      </c>
    </row>
    <row r="63" spans="1:9" x14ac:dyDescent="0.25">
      <c r="A63" t="s">
        <v>86</v>
      </c>
      <c r="B63" s="1">
        <v>45890</v>
      </c>
      <c r="C63" t="s">
        <v>43</v>
      </c>
      <c r="D63" t="s">
        <v>14</v>
      </c>
      <c r="E63">
        <v>4</v>
      </c>
      <c r="F63" t="s">
        <v>11</v>
      </c>
      <c r="G63">
        <v>41</v>
      </c>
      <c r="H63" t="s">
        <v>26</v>
      </c>
      <c r="I63" s="2">
        <f>WorkforceSchedule[[#This Row],[Actual_Workload]]/WorkforceSchedule[[#This Row],[Staff_Scheduled]]</f>
        <v>10.25</v>
      </c>
    </row>
    <row r="64" spans="1:9" x14ac:dyDescent="0.25">
      <c r="A64" t="s">
        <v>87</v>
      </c>
      <c r="B64" s="1">
        <v>45890</v>
      </c>
      <c r="C64" t="s">
        <v>43</v>
      </c>
      <c r="D64" t="s">
        <v>17</v>
      </c>
      <c r="E64">
        <v>5</v>
      </c>
      <c r="F64" t="s">
        <v>11</v>
      </c>
      <c r="G64">
        <v>54</v>
      </c>
      <c r="H64" t="s">
        <v>12</v>
      </c>
      <c r="I64" s="2">
        <f>WorkforceSchedule[[#This Row],[Actual_Workload]]/WorkforceSchedule[[#This Row],[Staff_Scheduled]]</f>
        <v>10.8</v>
      </c>
    </row>
    <row r="65" spans="1:9" x14ac:dyDescent="0.25">
      <c r="A65" t="s">
        <v>88</v>
      </c>
      <c r="B65" s="1">
        <v>45891</v>
      </c>
      <c r="C65" t="s">
        <v>9</v>
      </c>
      <c r="D65" t="s">
        <v>10</v>
      </c>
      <c r="E65">
        <v>7</v>
      </c>
      <c r="F65" t="s">
        <v>23</v>
      </c>
      <c r="G65">
        <v>73</v>
      </c>
      <c r="H65" t="s">
        <v>15</v>
      </c>
      <c r="I65" s="2">
        <f>WorkforceSchedule[[#This Row],[Actual_Workload]]/WorkforceSchedule[[#This Row],[Staff_Scheduled]]</f>
        <v>10.428571428571429</v>
      </c>
    </row>
    <row r="66" spans="1:9" x14ac:dyDescent="0.25">
      <c r="A66" t="s">
        <v>89</v>
      </c>
      <c r="B66" s="1">
        <v>45891</v>
      </c>
      <c r="C66" t="s">
        <v>9</v>
      </c>
      <c r="D66" t="s">
        <v>14</v>
      </c>
      <c r="E66">
        <v>6</v>
      </c>
      <c r="F66" t="s">
        <v>23</v>
      </c>
      <c r="G66">
        <v>77</v>
      </c>
      <c r="H66" t="s">
        <v>12</v>
      </c>
      <c r="I66" s="2">
        <f>WorkforceSchedule[[#This Row],[Actual_Workload]]/WorkforceSchedule[[#This Row],[Staff_Scheduled]]</f>
        <v>12.833333333333334</v>
      </c>
    </row>
    <row r="67" spans="1:9" x14ac:dyDescent="0.25">
      <c r="A67" t="s">
        <v>90</v>
      </c>
      <c r="B67" s="1">
        <v>45891</v>
      </c>
      <c r="C67" t="s">
        <v>9</v>
      </c>
      <c r="D67" t="s">
        <v>17</v>
      </c>
      <c r="E67">
        <v>2</v>
      </c>
      <c r="F67" t="s">
        <v>33</v>
      </c>
      <c r="G67">
        <v>36</v>
      </c>
      <c r="H67" t="s">
        <v>12</v>
      </c>
      <c r="I67" s="2">
        <f>WorkforceSchedule[[#This Row],[Actual_Workload]]/WorkforceSchedule[[#This Row],[Staff_Scheduled]]</f>
        <v>18</v>
      </c>
    </row>
    <row r="68" spans="1:9" x14ac:dyDescent="0.25">
      <c r="A68" t="s">
        <v>91</v>
      </c>
      <c r="B68" s="1">
        <v>45892</v>
      </c>
      <c r="C68" t="s">
        <v>20</v>
      </c>
      <c r="D68" t="s">
        <v>10</v>
      </c>
      <c r="E68">
        <v>2</v>
      </c>
      <c r="F68" t="s">
        <v>33</v>
      </c>
      <c r="G68">
        <v>21</v>
      </c>
      <c r="H68" t="s">
        <v>26</v>
      </c>
      <c r="I68" s="2">
        <f>WorkforceSchedule[[#This Row],[Actual_Workload]]/WorkforceSchedule[[#This Row],[Staff_Scheduled]]</f>
        <v>10.5</v>
      </c>
    </row>
    <row r="69" spans="1:9" x14ac:dyDescent="0.25">
      <c r="A69" t="s">
        <v>92</v>
      </c>
      <c r="B69" s="1">
        <v>45892</v>
      </c>
      <c r="C69" t="s">
        <v>20</v>
      </c>
      <c r="D69" t="s">
        <v>14</v>
      </c>
      <c r="E69">
        <v>5</v>
      </c>
      <c r="F69" t="s">
        <v>11</v>
      </c>
      <c r="G69">
        <v>70</v>
      </c>
      <c r="H69" t="s">
        <v>26</v>
      </c>
      <c r="I69" s="2">
        <f>WorkforceSchedule[[#This Row],[Actual_Workload]]/WorkforceSchedule[[#This Row],[Staff_Scheduled]]</f>
        <v>14</v>
      </c>
    </row>
    <row r="70" spans="1:9" x14ac:dyDescent="0.25">
      <c r="A70" t="s">
        <v>93</v>
      </c>
      <c r="B70" s="1">
        <v>45892</v>
      </c>
      <c r="C70" t="s">
        <v>20</v>
      </c>
      <c r="D70" t="s">
        <v>17</v>
      </c>
      <c r="E70">
        <v>7</v>
      </c>
      <c r="F70" t="s">
        <v>23</v>
      </c>
      <c r="G70">
        <v>78</v>
      </c>
      <c r="H70" t="s">
        <v>12</v>
      </c>
      <c r="I70" s="2">
        <f>WorkforceSchedule[[#This Row],[Actual_Workload]]/WorkforceSchedule[[#This Row],[Staff_Scheduled]]</f>
        <v>11.142857142857142</v>
      </c>
    </row>
    <row r="71" spans="1:9" x14ac:dyDescent="0.25">
      <c r="A71" t="s">
        <v>94</v>
      </c>
      <c r="B71" s="1">
        <v>45893</v>
      </c>
      <c r="C71" t="s">
        <v>25</v>
      </c>
      <c r="D71" t="s">
        <v>10</v>
      </c>
      <c r="E71">
        <v>3</v>
      </c>
      <c r="F71" t="s">
        <v>33</v>
      </c>
      <c r="G71">
        <v>31</v>
      </c>
      <c r="H71" t="s">
        <v>18</v>
      </c>
      <c r="I71" s="2">
        <f>WorkforceSchedule[[#This Row],[Actual_Workload]]/WorkforceSchedule[[#This Row],[Staff_Scheduled]]</f>
        <v>10.333333333333334</v>
      </c>
    </row>
    <row r="72" spans="1:9" x14ac:dyDescent="0.25">
      <c r="A72" t="s">
        <v>95</v>
      </c>
      <c r="B72" s="1">
        <v>45893</v>
      </c>
      <c r="C72" t="s">
        <v>25</v>
      </c>
      <c r="D72" t="s">
        <v>14</v>
      </c>
      <c r="E72">
        <v>3</v>
      </c>
      <c r="F72" t="s">
        <v>33</v>
      </c>
      <c r="G72">
        <v>35</v>
      </c>
      <c r="H72" t="s">
        <v>15</v>
      </c>
      <c r="I72" s="2">
        <f>WorkforceSchedule[[#This Row],[Actual_Workload]]/WorkforceSchedule[[#This Row],[Staff_Scheduled]]</f>
        <v>11.666666666666666</v>
      </c>
    </row>
    <row r="73" spans="1:9" x14ac:dyDescent="0.25">
      <c r="A73" t="s">
        <v>96</v>
      </c>
      <c r="B73" s="1">
        <v>45893</v>
      </c>
      <c r="C73" t="s">
        <v>25</v>
      </c>
      <c r="D73" t="s">
        <v>17</v>
      </c>
      <c r="E73">
        <v>6</v>
      </c>
      <c r="F73" t="s">
        <v>23</v>
      </c>
      <c r="G73">
        <v>95</v>
      </c>
      <c r="H73" t="s">
        <v>26</v>
      </c>
      <c r="I73" s="2">
        <f>WorkforceSchedule[[#This Row],[Actual_Workload]]/WorkforceSchedule[[#This Row],[Staff_Scheduled]]</f>
        <v>15.833333333333334</v>
      </c>
    </row>
    <row r="74" spans="1:9" x14ac:dyDescent="0.25">
      <c r="A74" t="s">
        <v>97</v>
      </c>
      <c r="B74" s="1">
        <v>45894</v>
      </c>
      <c r="C74" t="s">
        <v>30</v>
      </c>
      <c r="D74" t="s">
        <v>10</v>
      </c>
      <c r="E74">
        <v>8</v>
      </c>
      <c r="F74" t="s">
        <v>23</v>
      </c>
      <c r="G74">
        <v>75</v>
      </c>
      <c r="H74" t="s">
        <v>18</v>
      </c>
      <c r="I74" s="2">
        <f>WorkforceSchedule[[#This Row],[Actual_Workload]]/WorkforceSchedule[[#This Row],[Staff_Scheduled]]</f>
        <v>9.375</v>
      </c>
    </row>
    <row r="75" spans="1:9" x14ac:dyDescent="0.25">
      <c r="A75" t="s">
        <v>98</v>
      </c>
      <c r="B75" s="1">
        <v>45894</v>
      </c>
      <c r="C75" t="s">
        <v>30</v>
      </c>
      <c r="D75" t="s">
        <v>14</v>
      </c>
      <c r="E75">
        <v>8</v>
      </c>
      <c r="F75" t="s">
        <v>23</v>
      </c>
      <c r="G75">
        <v>71</v>
      </c>
      <c r="H75" t="s">
        <v>18</v>
      </c>
      <c r="I75" s="2">
        <f>WorkforceSchedule[[#This Row],[Actual_Workload]]/WorkforceSchedule[[#This Row],[Staff_Scheduled]]</f>
        <v>8.875</v>
      </c>
    </row>
    <row r="76" spans="1:9" x14ac:dyDescent="0.25">
      <c r="A76" t="s">
        <v>99</v>
      </c>
      <c r="B76" s="1">
        <v>45894</v>
      </c>
      <c r="C76" t="s">
        <v>30</v>
      </c>
      <c r="D76" t="s">
        <v>17</v>
      </c>
      <c r="E76">
        <v>2</v>
      </c>
      <c r="F76" t="s">
        <v>33</v>
      </c>
      <c r="G76">
        <v>21</v>
      </c>
      <c r="H76" t="s">
        <v>18</v>
      </c>
      <c r="I76" s="2">
        <f>WorkforceSchedule[[#This Row],[Actual_Workload]]/WorkforceSchedule[[#This Row],[Staff_Scheduled]]</f>
        <v>10.5</v>
      </c>
    </row>
    <row r="77" spans="1:9" x14ac:dyDescent="0.25">
      <c r="A77" t="s">
        <v>100</v>
      </c>
      <c r="B77" s="1">
        <v>45895</v>
      </c>
      <c r="C77" t="s">
        <v>35</v>
      </c>
      <c r="D77" t="s">
        <v>10</v>
      </c>
      <c r="E77">
        <v>4</v>
      </c>
      <c r="F77" t="s">
        <v>11</v>
      </c>
      <c r="G77">
        <v>48</v>
      </c>
      <c r="H77" t="s">
        <v>26</v>
      </c>
      <c r="I77" s="2">
        <f>WorkforceSchedule[[#This Row],[Actual_Workload]]/WorkforceSchedule[[#This Row],[Staff_Scheduled]]</f>
        <v>12</v>
      </c>
    </row>
    <row r="78" spans="1:9" x14ac:dyDescent="0.25">
      <c r="A78" t="s">
        <v>101</v>
      </c>
      <c r="B78" s="1">
        <v>45895</v>
      </c>
      <c r="C78" t="s">
        <v>35</v>
      </c>
      <c r="D78" t="s">
        <v>14</v>
      </c>
      <c r="E78">
        <v>4</v>
      </c>
      <c r="F78" t="s">
        <v>11</v>
      </c>
      <c r="G78">
        <v>67</v>
      </c>
      <c r="H78" t="s">
        <v>18</v>
      </c>
      <c r="I78" s="2">
        <f>WorkforceSchedule[[#This Row],[Actual_Workload]]/WorkforceSchedule[[#This Row],[Staff_Scheduled]]</f>
        <v>16.75</v>
      </c>
    </row>
    <row r="79" spans="1:9" x14ac:dyDescent="0.25">
      <c r="A79" t="s">
        <v>102</v>
      </c>
      <c r="B79" s="1">
        <v>45895</v>
      </c>
      <c r="C79" t="s">
        <v>35</v>
      </c>
      <c r="D79" t="s">
        <v>17</v>
      </c>
      <c r="E79">
        <v>4</v>
      </c>
      <c r="F79" t="s">
        <v>11</v>
      </c>
      <c r="G79">
        <v>63</v>
      </c>
      <c r="H79" t="s">
        <v>12</v>
      </c>
      <c r="I79" s="2">
        <f>WorkforceSchedule[[#This Row],[Actual_Workload]]/WorkforceSchedule[[#This Row],[Staff_Scheduled]]</f>
        <v>15.75</v>
      </c>
    </row>
    <row r="80" spans="1:9" x14ac:dyDescent="0.25">
      <c r="A80" t="s">
        <v>103</v>
      </c>
      <c r="B80" s="1">
        <v>45896</v>
      </c>
      <c r="C80" t="s">
        <v>39</v>
      </c>
      <c r="D80" t="s">
        <v>10</v>
      </c>
      <c r="E80">
        <v>6</v>
      </c>
      <c r="F80" t="s">
        <v>23</v>
      </c>
      <c r="G80">
        <v>93</v>
      </c>
      <c r="H80" t="s">
        <v>15</v>
      </c>
      <c r="I80" s="2">
        <f>WorkforceSchedule[[#This Row],[Actual_Workload]]/WorkforceSchedule[[#This Row],[Staff_Scheduled]]</f>
        <v>15.5</v>
      </c>
    </row>
    <row r="81" spans="1:9" x14ac:dyDescent="0.25">
      <c r="A81" t="s">
        <v>104</v>
      </c>
      <c r="B81" s="1">
        <v>45896</v>
      </c>
      <c r="C81" t="s">
        <v>39</v>
      </c>
      <c r="D81" t="s">
        <v>14</v>
      </c>
      <c r="E81">
        <v>4</v>
      </c>
      <c r="F81" t="s">
        <v>11</v>
      </c>
      <c r="G81">
        <v>42</v>
      </c>
      <c r="H81" t="s">
        <v>12</v>
      </c>
      <c r="I81" s="2">
        <f>WorkforceSchedule[[#This Row],[Actual_Workload]]/WorkforceSchedule[[#This Row],[Staff_Scheduled]]</f>
        <v>10.5</v>
      </c>
    </row>
    <row r="82" spans="1:9" x14ac:dyDescent="0.25">
      <c r="A82" t="s">
        <v>105</v>
      </c>
      <c r="B82" s="1">
        <v>45896</v>
      </c>
      <c r="C82" t="s">
        <v>39</v>
      </c>
      <c r="D82" t="s">
        <v>17</v>
      </c>
      <c r="E82">
        <v>5</v>
      </c>
      <c r="F82" t="s">
        <v>11</v>
      </c>
      <c r="G82">
        <v>65</v>
      </c>
      <c r="H82" t="s">
        <v>26</v>
      </c>
      <c r="I82" s="2">
        <f>WorkforceSchedule[[#This Row],[Actual_Workload]]/WorkforceSchedule[[#This Row],[Staff_Scheduled]]</f>
        <v>13</v>
      </c>
    </row>
    <row r="83" spans="1:9" x14ac:dyDescent="0.25">
      <c r="A83" t="s">
        <v>106</v>
      </c>
      <c r="B83" s="1">
        <v>45897</v>
      </c>
      <c r="C83" t="s">
        <v>43</v>
      </c>
      <c r="D83" t="s">
        <v>10</v>
      </c>
      <c r="E83">
        <v>5</v>
      </c>
      <c r="F83" t="s">
        <v>11</v>
      </c>
      <c r="G83">
        <v>57</v>
      </c>
      <c r="H83" t="s">
        <v>18</v>
      </c>
      <c r="I83" s="2">
        <f>WorkforceSchedule[[#This Row],[Actual_Workload]]/WorkforceSchedule[[#This Row],[Staff_Scheduled]]</f>
        <v>11.4</v>
      </c>
    </row>
    <row r="84" spans="1:9" x14ac:dyDescent="0.25">
      <c r="A84" t="s">
        <v>107</v>
      </c>
      <c r="B84" s="1">
        <v>45897</v>
      </c>
      <c r="C84" t="s">
        <v>43</v>
      </c>
      <c r="D84" t="s">
        <v>14</v>
      </c>
      <c r="E84">
        <v>6</v>
      </c>
      <c r="F84" t="s">
        <v>23</v>
      </c>
      <c r="G84">
        <v>78</v>
      </c>
      <c r="H84" t="s">
        <v>12</v>
      </c>
      <c r="I84" s="2">
        <f>WorkforceSchedule[[#This Row],[Actual_Workload]]/WorkforceSchedule[[#This Row],[Staff_Scheduled]]</f>
        <v>13</v>
      </c>
    </row>
    <row r="85" spans="1:9" x14ac:dyDescent="0.25">
      <c r="A85" t="s">
        <v>108</v>
      </c>
      <c r="B85" s="1">
        <v>45897</v>
      </c>
      <c r="C85" t="s">
        <v>43</v>
      </c>
      <c r="D85" t="s">
        <v>17</v>
      </c>
      <c r="E85">
        <v>6</v>
      </c>
      <c r="F85" t="s">
        <v>11</v>
      </c>
      <c r="G85">
        <v>54</v>
      </c>
      <c r="H85" t="s">
        <v>26</v>
      </c>
      <c r="I85" s="2">
        <f>WorkforceSchedule[[#This Row],[Actual_Workload]]/WorkforceSchedule[[#This Row],[Staff_Scheduled]]</f>
        <v>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 </vt:lpstr>
      <vt:lpstr>Sheet2</vt:lpstr>
      <vt:lpstr>Workforce_Schedule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Katherine Maskell</cp:lastModifiedBy>
  <dcterms:created xsi:type="dcterms:W3CDTF">2026-01-06T03:26:43Z</dcterms:created>
  <dcterms:modified xsi:type="dcterms:W3CDTF">2026-01-06T03:54:52Z</dcterms:modified>
</cp:coreProperties>
</file>